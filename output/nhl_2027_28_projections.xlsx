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ions_2027_28" sheetId="2" state="visible" r:id="rId2"/>
    <sheet xmlns:r="http://schemas.openxmlformats.org/officeDocument/2006/relationships" name="Projections_2026_27" sheetId="3" state="visible" r:id="rId3"/>
    <sheet xmlns:r="http://schemas.openxmlformats.org/officeDocument/2006/relationships" name="Sim_Distributions_2027_28" sheetId="4" state="visible" r:id="rId4"/>
    <sheet xmlns:r="http://schemas.openxmlformats.org/officeDocument/2006/relationships" name="Ratings" sheetId="5" state="visible" r:id="rId5"/>
    <sheet xmlns:r="http://schemas.openxmlformats.org/officeDocument/2006/relationships" name="Back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NHL 2027-28 Projection Model</t>
        </is>
      </c>
    </row>
    <row r="2">
      <c r="A2" s="2" t="inlineStr">
        <is>
          <t>Aggregate expected returns of the 2027-28 NHL season - built 2026-08-12 from data through 2025-26.</t>
        </is>
      </c>
    </row>
    <row r="3">
      <c r="A3" s="2" t="inlineStr"/>
    </row>
    <row r="4">
      <c r="A4" s="2" t="inlineStr">
        <is>
          <t>HEADLINE SHEET: Projections_2027_28. Each row aggregates 10,000 season simulations: expected points</t>
        </is>
      </c>
    </row>
    <row r="5">
      <c r="A5" s="2" t="inlineStr">
        <is>
          <t>(84-game schedule, new CBA), spread percentiles, and probabilities of playoffs/division/conference/Cup,</t>
        </is>
      </c>
    </row>
    <row r="6">
      <c r="A6" s="2" t="inlineStr">
        <is>
          <t>with fair (break-even, no-vig) odds implied by those probabilities.</t>
        </is>
      </c>
    </row>
    <row r="7">
      <c r="A7" s="2" t="inlineStr"/>
    </row>
    <row r="8">
      <c r="A8" s="2">
        <f>== Method (discover -&gt; build -&gt; tune -&gt; report) ===</f>
        <v/>
      </c>
    </row>
    <row r="9">
      <c r="A9" s="2" t="inlineStr">
        <is>
          <t>1. DATA: all 27,166 NHL games 2005-06 through 2025-26 (results via Hockey-Reference season pages;</t>
        </is>
      </c>
    </row>
    <row r="10">
      <c r="A10" s="2" t="inlineStr">
        <is>
          <t xml:space="preserve">   attribution: Sports Reference LLC). Team-season expected goals 2007-08+ from MoneyPuck.com</t>
        </is>
      </c>
    </row>
    <row r="11">
      <c r="A11" s="2" t="inlineStr">
        <is>
          <t xml:space="preserve">   (free for non-commercial use with attribution). 84-game 2026-27+ schedule matrix per new CBA.</t>
        </is>
      </c>
    </row>
    <row r="12">
      <c r="A12" s="2" t="inlineStr">
        <is>
          <t>2. RATINGS: margin-of-victory Elo (K=6, home ice +35, ln(GD+1) multiplier with the FiveThirtyEight</t>
        </is>
      </c>
    </row>
    <row r="13">
      <c r="A13" s="2" t="inlineStr">
        <is>
          <t xml:space="preserve">   autocorrelation guard), run through playoffs; season carryover 0.70 toward the 1505 mean.</t>
        </is>
      </c>
    </row>
    <row r="14">
      <c r="A14" s="2" t="inlineStr">
        <is>
          <t>3. PROCESS BLEND: end-of-season rating = 0.6 x Elo + 0.4 x (all-situations xG share mapped to Elo,</t>
        </is>
      </c>
    </row>
    <row r="15">
      <c r="A15" s="2" t="inlineStr">
        <is>
          <t xml:space="preserve">   beta=1111 Elo per unit of xG share). EDA: xG% repeats year-over-year (r=0.61) better than</t>
        </is>
      </c>
    </row>
    <row r="16">
      <c r="A16" s="2" t="inlineStr">
        <is>
          <t xml:space="preserve">   points% (r=0.52); shooting/save % essentially don't repeat (r~0.006) - PDO is luck (Tulsky).</t>
        </is>
      </c>
    </row>
    <row r="17">
      <c r="A17" s="2" t="inlineStr">
        <is>
          <t>4. TWO-SEASON-AHEAD: 2027-28 strength = 1505 + 0.75 x blended deviation (shrinkage estimated</t>
        </is>
      </c>
    </row>
    <row r="18">
      <c r="A18" s="2" t="inlineStr">
        <is>
          <t xml:space="preserve">   directly on two-year gaps; quality has a persistent component, so phi2 &gt;&gt; phi1^2), plus</t>
        </is>
      </c>
    </row>
    <row r="19">
      <c r="A19" s="2" t="inlineStr">
        <is>
          <t xml:space="preserve">   sigma=40 Elo of drawn true-strength noise per simulation (covers two off-seasons of roster churn,</t>
        </is>
      </c>
    </row>
    <row r="20">
      <c r="A20" s="2" t="inlineStr">
        <is>
          <t xml:space="preserve">   aging, goaltending voodoo). 2026-27 uses phi1=0.85, sigma=30.</t>
        </is>
      </c>
    </row>
    <row r="21">
      <c r="A21" s="2" t="inlineStr">
        <is>
          <t>5. GAME MODEL: P(reach OT)~25% at even strength, decreasing with mismatch; regulation winner from</t>
        </is>
      </c>
    </row>
    <row r="22">
      <c r="A22" s="2" t="inlineStr">
        <is>
          <t xml:space="preserve">   full-slope logistic; OT/SO winner from a heavily compressed slope (better team wins only ~55%</t>
        </is>
      </c>
    </row>
    <row r="23">
      <c r="A23" s="2" t="inlineStr">
        <is>
          <t xml:space="preserve">   of OT games vs ~63% of regulation games); SO share ~34% of past-regulation games; W=2, OTL=1.</t>
        </is>
      </c>
    </row>
    <row r="24">
      <c r="A24" s="2" t="inlineStr">
        <is>
          <t>6. SIMULATION: 10,000 x 1,344-game seasons on a CBA-correct synthetic schedule (28 division /</t>
        </is>
      </c>
    </row>
    <row r="25">
      <c r="A25" s="2" t="inlineStr">
        <is>
          <t xml:space="preserve">   24 conference / 32 inter-conference), standings tiebreakers (RW then ROW), real playoff seeding</t>
        </is>
      </c>
    </row>
    <row r="26">
      <c r="A26" s="2" t="inlineStr">
        <is>
          <t xml:space="preserve">   (top-3 + 2 wild cards, fixed bracket), best-of-7 series with 2-2-1-1-1 home ice via a playoff-fit</t>
        </is>
      </c>
    </row>
    <row r="27">
      <c r="A27" s="2" t="inlineStr">
        <is>
          <t xml:space="preserve">   game model.</t>
        </is>
      </c>
    </row>
    <row r="28">
      <c r="A28" s="2" t="inlineStr"/>
    </row>
    <row r="29">
      <c r="A29" s="2">
        <f>== Backtest (walk-forward, params frozen on &lt;=2016-17, validated once on 2017-18..2025-26) ===</f>
        <v/>
      </c>
    </row>
    <row r="30">
      <c r="A30" s="2" t="inlineStr">
        <is>
          <t>One-ahead: MAE 10.54 pts/82 vs 11.03 regressed-prior baseline, 13.24 uniform (best in 7/9 seasons).</t>
        </is>
      </c>
    </row>
    <row r="31">
      <c r="A31" s="2" t="inlineStr">
        <is>
          <t>Two-ahead (this task): MAE 11.57 vs 11.90 regressed, 13.24 uniform, 14.02 raw-prior.</t>
        </is>
      </c>
    </row>
    <row r="32">
      <c r="A32" s="2" t="inlineStr">
        <is>
          <t>Playoff-odds Brier 0.195/0.208 (h1/h2) vs 0.25 constant; binned calibration within noise.</t>
        </is>
      </c>
    </row>
    <row r="33">
      <c r="A33" s="2" t="inlineStr">
        <is>
          <t>Interpretation (Silver): two years out, the edge over 'regress everything heavily to the mean' is</t>
        </is>
      </c>
    </row>
    <row r="34">
      <c r="A34" s="2" t="inlineStr">
        <is>
          <t>real but thin; the value of the model is calibrated DISTRIBUTIONS, not point estimates.</t>
        </is>
      </c>
    </row>
    <row r="35">
      <c r="A35" s="2" t="inlineStr">
        <is>
          <t>Trajectory/momentum term tested on train: exactly null (gamma=0 optimal). Dropped.</t>
        </is>
      </c>
    </row>
    <row r="36">
      <c r="A36" s="2" t="inlineStr"/>
    </row>
    <row r="37">
      <c r="A37" s="2">
        <f>== League aggregates (from simulations) ===</f>
        <v/>
      </c>
    </row>
    <row r="38">
      <c r="A38" s="2" t="inlineStr">
        <is>
          <t>2027-28: league mean points: 93.58</t>
        </is>
      </c>
    </row>
    <row r="39">
      <c r="A39" s="2" t="inlineStr">
        <is>
          <t>2027-28: SD of team points (mean across sims): 15.04</t>
        </is>
      </c>
    </row>
    <row r="40">
      <c r="A40" s="2" t="inlineStr">
        <is>
          <t>2027-28: expected # teams &gt;=100 pts: 11.22</t>
        </is>
      </c>
    </row>
    <row r="41">
      <c r="A41" s="2" t="inlineStr">
        <is>
          <t>2027-28: P(some team &gt;=120 pts): 0.767</t>
        </is>
      </c>
    </row>
    <row r="42">
      <c r="A42" s="2" t="inlineStr">
        <is>
          <t>2027-28: expected Presidents' Trophy points: 124.2</t>
        </is>
      </c>
    </row>
    <row r="43">
      <c r="A43" s="2" t="inlineStr">
        <is>
          <t>2027-28: expected last-place points: 62.2</t>
        </is>
      </c>
    </row>
    <row r="44">
      <c r="A44" s="2" t="inlineStr">
        <is>
          <t>2026-27: league mean points: 93.62</t>
        </is>
      </c>
    </row>
    <row r="45">
      <c r="A45" s="2" t="inlineStr">
        <is>
          <t>2026-27: SD of team points (mean across sims): 14.19</t>
        </is>
      </c>
    </row>
    <row r="46">
      <c r="A46" s="2" t="inlineStr">
        <is>
          <t>2026-27: expected # teams &gt;=100 pts: 10.9</t>
        </is>
      </c>
    </row>
    <row r="47">
      <c r="A47" s="2" t="inlineStr">
        <is>
          <t>2026-27: P(some team &gt;=120 pts): 0.69</t>
        </is>
      </c>
    </row>
    <row r="48">
      <c r="A48" s="2" t="inlineStr">
        <is>
          <t>2026-27: expected Presidents' Trophy points: 122.7</t>
        </is>
      </c>
    </row>
    <row r="49">
      <c r="A49" s="2" t="inlineStr">
        <is>
          <t>2026-27: expected last-place points: 63.9</t>
        </is>
      </c>
    </row>
    <row r="50">
      <c r="A50" s="2" t="inlineStr"/>
    </row>
    <row r="51">
      <c r="A51" s="2">
        <f>== Caveats (read before using) ===</f>
        <v/>
      </c>
    </row>
    <row r="52">
      <c r="A52" s="2" t="inlineStr">
        <is>
          <t>- The model knows nothing after June 2026: 2026 and 2027 free agency, trades, drafts, injuries,</t>
        </is>
      </c>
    </row>
    <row r="53">
      <c r="A53" s="2" t="inlineStr">
        <is>
          <t xml:space="preserve">  goalie changes are all in the error term (sigma), not the point estimates.</t>
        </is>
      </c>
    </row>
    <row r="54">
      <c r="A54" s="2" t="inlineStr">
        <is>
          <t>- Real 2027-28 schedule is unpublished; a synthetic CBA-matrix schedule is used (order/rest ignored).</t>
        </is>
      </c>
    </row>
    <row r="55">
      <c r="A55" s="2" t="inlineStr">
        <is>
          <t>- 84-game era begins 2026-27; per-game modeling scaled up is assumed valid.</t>
        </is>
      </c>
    </row>
    <row r="56">
      <c r="A56" s="2" t="inlineStr">
        <is>
          <t>- Fair odds are break-even prices, not predictions of market prices; futures markets embed roster</t>
        </is>
      </c>
    </row>
    <row r="57">
      <c r="A57" s="2" t="inlineStr">
        <is>
          <t xml:space="preserve">  news this model cannot know. Differences are not automatically edges.</t>
        </is>
      </c>
    </row>
    <row r="58">
      <c r="A58" s="2" t="inlineStr">
        <is>
          <t>- 32 teams assumed (no expansion approved for 2027-28 as of Aug 2026).</t>
        </is>
      </c>
    </row>
    <row r="59">
      <c r="A59" s="2" t="inlineStr">
        <is>
          <t>- Playoff seeding uses points/RW keys; obscure tiebreakers (H2H) approximated by random draw.</t>
        </is>
      </c>
    </row>
    <row r="60">
      <c r="A60" s="2" t="inlineStr"/>
    </row>
    <row r="61">
      <c r="A61" s="2">
        <f>== Teachers honored ===</f>
        <v/>
      </c>
    </row>
    <row r="62">
      <c r="A62" s="2" t="inlineStr">
        <is>
          <t>Nate Silver (Elo, regression to the mean, calibration over confidence, uncertainty as information);</t>
        </is>
      </c>
    </row>
    <row r="63">
      <c r="A63" s="2" t="inlineStr">
        <is>
          <t>Eric Tulsky (shot/xG metrics out-predict goals in small samples; PDO luck; skepticism of stories);</t>
        </is>
      </c>
    </row>
    <row r="64">
      <c r="A64" s="2" t="inlineStr">
        <is>
          <t>Tom Tango (Marcel: the regressed-prior baseline every model must beat); Dom Luszczyszyn (full-</t>
        </is>
      </c>
    </row>
    <row r="65">
      <c r="A65" s="2" t="inlineStr">
        <is>
          <t>distribution team projections); Micah Blake McCurdy (score/venue adjustment); Evolving-Hockey /</t>
        </is>
      </c>
    </row>
    <row r="66">
      <c r="A66" s="2" t="inlineStr">
        <is>
          <t>MoneyPuck (public xG models). Errors are mine, not theirs.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Conference</t>
        </is>
      </c>
      <c r="E1" s="1" t="inlineStr">
        <is>
          <t>Division</t>
        </is>
      </c>
      <c r="F1" s="1" t="inlineStr">
        <is>
          <t>Rating</t>
        </is>
      </c>
      <c r="G1" s="1" t="inlineStr">
        <is>
          <t>xPts</t>
        </is>
      </c>
      <c r="H1" s="1" t="inlineStr">
        <is>
          <t>SD</t>
        </is>
      </c>
      <c r="I1" s="1" t="inlineStr">
        <is>
          <t>P5</t>
        </is>
      </c>
      <c r="J1" s="1" t="inlineStr">
        <is>
          <t>P25</t>
        </is>
      </c>
      <c r="K1" s="1" t="inlineStr">
        <is>
          <t>P50</t>
        </is>
      </c>
      <c r="L1" s="1" t="inlineStr">
        <is>
          <t>P75</t>
        </is>
      </c>
      <c r="M1" s="1" t="inlineStr">
        <is>
          <t>P95</t>
        </is>
      </c>
      <c r="N1" s="1" t="inlineStr">
        <is>
          <t>Playoff%</t>
        </is>
      </c>
      <c r="O1" s="1" t="inlineStr">
        <is>
          <t>Division%</t>
        </is>
      </c>
      <c r="P1" s="1" t="inlineStr">
        <is>
          <t>Presidents%</t>
        </is>
      </c>
      <c r="Q1" s="1" t="inlineStr">
        <is>
          <t>Conference%</t>
        </is>
      </c>
      <c r="R1" s="1" t="inlineStr">
        <is>
          <t>Cup%</t>
        </is>
      </c>
      <c r="S1" s="1" t="inlineStr">
        <is>
          <t>Bottom3%</t>
        </is>
      </c>
      <c r="T1" s="1" t="inlineStr">
        <is>
          <t>P(&gt;=100pts)</t>
        </is>
      </c>
      <c r="U1" s="1" t="inlineStr">
        <is>
          <t>P(&gt;=110pts)</t>
        </is>
      </c>
      <c r="V1" s="1" t="inlineStr">
        <is>
          <t>FairOdds Playoff (dec)</t>
        </is>
      </c>
      <c r="W1" s="1" t="inlineStr">
        <is>
          <t>FairOdds Cup (dec)</t>
        </is>
      </c>
      <c r="X1" s="1" t="inlineStr">
        <is>
          <t>FairOdds Cup (US)</t>
        </is>
      </c>
    </row>
    <row r="2">
      <c r="A2" t="n">
        <v>1</v>
      </c>
      <c r="B2" t="inlineStr">
        <is>
          <t>Carolina Hurricanes</t>
        </is>
      </c>
      <c r="C2" t="inlineStr">
        <is>
          <t>CAR</t>
        </is>
      </c>
      <c r="D2" t="inlineStr">
        <is>
          <t>East</t>
        </is>
      </c>
      <c r="E2" t="inlineStr">
        <is>
          <t>Metropolitan</t>
        </is>
      </c>
      <c r="F2" s="3" t="n">
        <v>1570.9</v>
      </c>
      <c r="G2" s="3" t="n">
        <v>109.7424</v>
      </c>
      <c r="H2" s="3" t="n">
        <v>12.25718834425786</v>
      </c>
      <c r="I2" s="3" t="n">
        <v>89</v>
      </c>
      <c r="J2" s="3" t="n">
        <v>102</v>
      </c>
      <c r="K2" s="3" t="n">
        <v>110</v>
      </c>
      <c r="L2" s="3" t="n">
        <v>118</v>
      </c>
      <c r="M2" s="3" t="n">
        <v>129</v>
      </c>
      <c r="N2" s="4" t="n">
        <v>0.883</v>
      </c>
      <c r="O2" s="4" t="n">
        <v>0.4818</v>
      </c>
      <c r="P2" s="4" t="n">
        <v>0.1768</v>
      </c>
      <c r="Q2" s="4" t="n">
        <v>0.2413</v>
      </c>
      <c r="R2" s="4" t="n">
        <v>0.1491</v>
      </c>
      <c r="S2" s="4" t="n">
        <v>0.0019</v>
      </c>
      <c r="T2" s="4" t="n">
        <v>0.8</v>
      </c>
      <c r="U2" s="4" t="n">
        <v>0.5155</v>
      </c>
      <c r="V2" t="n">
        <v>1.13</v>
      </c>
      <c r="W2" t="n">
        <v>6.71</v>
      </c>
      <c r="X2" t="inlineStr">
        <is>
          <t>+571</t>
        </is>
      </c>
    </row>
    <row r="3">
      <c r="A3" t="n">
        <v>2</v>
      </c>
      <c r="B3" t="inlineStr">
        <is>
          <t>Colorado Avalanche</t>
        </is>
      </c>
      <c r="C3" t="inlineStr">
        <is>
          <t>COL</t>
        </is>
      </c>
      <c r="D3" t="inlineStr">
        <is>
          <t>West</t>
        </is>
      </c>
      <c r="E3" t="inlineStr">
        <is>
          <t>Central</t>
        </is>
      </c>
      <c r="F3" s="3" t="n">
        <v>1566.8</v>
      </c>
      <c r="G3" s="3" t="n">
        <v>109.5285</v>
      </c>
      <c r="H3" s="3" t="n">
        <v>12.41393565030176</v>
      </c>
      <c r="I3" s="3" t="n">
        <v>88</v>
      </c>
      <c r="J3" s="3" t="n">
        <v>101.75</v>
      </c>
      <c r="K3" s="3" t="n">
        <v>110</v>
      </c>
      <c r="L3" s="3" t="n">
        <v>118</v>
      </c>
      <c r="M3" s="3" t="n">
        <v>129</v>
      </c>
      <c r="N3" s="4" t="n">
        <v>0.9044</v>
      </c>
      <c r="O3" s="4" t="n">
        <v>0.4277</v>
      </c>
      <c r="P3" s="4" t="n">
        <v>0.1695</v>
      </c>
      <c r="Q3" s="4" t="n">
        <v>0.2431</v>
      </c>
      <c r="R3" s="4" t="n">
        <v>0.1411</v>
      </c>
      <c r="S3" s="4" t="n">
        <v>0.0045</v>
      </c>
      <c r="T3" s="4" t="n">
        <v>0.7939000000000001</v>
      </c>
      <c r="U3" s="4" t="n">
        <v>0.5144</v>
      </c>
      <c r="V3" t="n">
        <v>1.11</v>
      </c>
      <c r="W3" t="n">
        <v>7.09</v>
      </c>
      <c r="X3" t="inlineStr">
        <is>
          <t>+609</t>
        </is>
      </c>
    </row>
    <row r="4">
      <c r="A4" t="n">
        <v>3</v>
      </c>
      <c r="B4" t="inlineStr">
        <is>
          <t>Tampa Bay Lightning</t>
        </is>
      </c>
      <c r="C4" t="inlineStr">
        <is>
          <t>TBL</t>
        </is>
      </c>
      <c r="D4" t="inlineStr">
        <is>
          <t>East</t>
        </is>
      </c>
      <c r="E4" t="inlineStr">
        <is>
          <t>Atlantic</t>
        </is>
      </c>
      <c r="F4" s="3" t="n">
        <v>1545.8</v>
      </c>
      <c r="G4" s="3" t="n">
        <v>103.6708</v>
      </c>
      <c r="H4" s="3" t="n">
        <v>12.63544984633638</v>
      </c>
      <c r="I4" s="3" t="n">
        <v>82</v>
      </c>
      <c r="J4" s="3" t="n">
        <v>95</v>
      </c>
      <c r="K4" s="3" t="n">
        <v>104</v>
      </c>
      <c r="L4" s="3" t="n">
        <v>112</v>
      </c>
      <c r="M4" s="3" t="n">
        <v>124</v>
      </c>
      <c r="N4" s="4" t="n">
        <v>0.7534999999999999</v>
      </c>
      <c r="O4" s="4" t="n">
        <v>0.2724</v>
      </c>
      <c r="P4" s="4" t="n">
        <v>0.08210000000000001</v>
      </c>
      <c r="Q4" s="4" t="n">
        <v>0.1268</v>
      </c>
      <c r="R4" s="4" t="n">
        <v>0.06759999999999999</v>
      </c>
      <c r="S4" s="4" t="n">
        <v>0.0122</v>
      </c>
      <c r="T4" s="4" t="n">
        <v>0.6373</v>
      </c>
      <c r="U4" s="4" t="n">
        <v>0.3292</v>
      </c>
      <c r="V4" t="n">
        <v>1.33</v>
      </c>
      <c r="W4" t="n">
        <v>14.79</v>
      </c>
      <c r="X4" t="inlineStr">
        <is>
          <t>+1379</t>
        </is>
      </c>
    </row>
    <row r="5">
      <c r="A5" t="n">
        <v>4</v>
      </c>
      <c r="B5" t="inlineStr">
        <is>
          <t>Vegas Golden Knights</t>
        </is>
      </c>
      <c r="C5" t="inlineStr">
        <is>
          <t>VGK</t>
        </is>
      </c>
      <c r="D5" t="inlineStr">
        <is>
          <t>West</t>
        </is>
      </c>
      <c r="E5" t="inlineStr">
        <is>
          <t>Pacific</t>
        </is>
      </c>
      <c r="F5" s="3" t="n">
        <v>1536.2</v>
      </c>
      <c r="G5" s="3" t="n">
        <v>102.552</v>
      </c>
      <c r="H5" s="3" t="n">
        <v>12.77617388195332</v>
      </c>
      <c r="I5" s="3" t="n">
        <v>82</v>
      </c>
      <c r="J5" s="3" t="n">
        <v>94</v>
      </c>
      <c r="K5" s="3" t="n">
        <v>103</v>
      </c>
      <c r="L5" s="3" t="n">
        <v>111</v>
      </c>
      <c r="M5" s="3" t="n">
        <v>123</v>
      </c>
      <c r="N5" s="4" t="n">
        <v>0.8036</v>
      </c>
      <c r="O5" s="4" t="n">
        <v>0.3684</v>
      </c>
      <c r="P5" s="4" t="n">
        <v>0.07099999999999999</v>
      </c>
      <c r="Q5" s="4" t="n">
        <v>0.1387</v>
      </c>
      <c r="R5" s="4" t="n">
        <v>0.0669</v>
      </c>
      <c r="S5" s="4" t="n">
        <v>0.0129</v>
      </c>
      <c r="T5" s="4" t="n">
        <v>0.5965</v>
      </c>
      <c r="U5" s="4" t="n">
        <v>0.2992</v>
      </c>
      <c r="V5" t="n">
        <v>1.24</v>
      </c>
      <c r="W5" t="n">
        <v>14.95</v>
      </c>
      <c r="X5" t="inlineStr">
        <is>
          <t>+1395</t>
        </is>
      </c>
    </row>
    <row r="6">
      <c r="A6" t="n">
        <v>5</v>
      </c>
      <c r="B6" t="inlineStr">
        <is>
          <t>Dallas Stars</t>
        </is>
      </c>
      <c r="C6" t="inlineStr">
        <is>
          <t>DAL</t>
        </is>
      </c>
      <c r="D6" t="inlineStr">
        <is>
          <t>West</t>
        </is>
      </c>
      <c r="E6" t="inlineStr">
        <is>
          <t>Central</t>
        </is>
      </c>
      <c r="F6" s="3" t="n">
        <v>1533.8</v>
      </c>
      <c r="G6" s="3" t="n">
        <v>101.296</v>
      </c>
      <c r="H6" s="3" t="n">
        <v>12.88076765637599</v>
      </c>
      <c r="I6" s="3" t="n">
        <v>80</v>
      </c>
      <c r="J6" s="3" t="n">
        <v>92</v>
      </c>
      <c r="K6" s="3" t="n">
        <v>101</v>
      </c>
      <c r="L6" s="3" t="n">
        <v>110</v>
      </c>
      <c r="M6" s="3" t="n">
        <v>122</v>
      </c>
      <c r="N6" s="4" t="n">
        <v>0.7472</v>
      </c>
      <c r="O6" s="4" t="n">
        <v>0.182</v>
      </c>
      <c r="P6" s="4" t="n">
        <v>0.061</v>
      </c>
      <c r="Q6" s="4" t="n">
        <v>0.1156</v>
      </c>
      <c r="R6" s="4" t="n">
        <v>0.057</v>
      </c>
      <c r="S6" s="4" t="n">
        <v>0.0188</v>
      </c>
      <c r="T6" s="4" t="n">
        <v>0.5588</v>
      </c>
      <c r="U6" s="4" t="n">
        <v>0.2727</v>
      </c>
      <c r="V6" t="n">
        <v>1.34</v>
      </c>
      <c r="W6" t="n">
        <v>17.54</v>
      </c>
      <c r="X6" t="inlineStr">
        <is>
          <t>+1654</t>
        </is>
      </c>
    </row>
    <row r="7">
      <c r="A7" t="n">
        <v>6</v>
      </c>
      <c r="B7" t="inlineStr">
        <is>
          <t>Ottawa Senators</t>
        </is>
      </c>
      <c r="C7" t="inlineStr">
        <is>
          <t>OTT</t>
        </is>
      </c>
      <c r="D7" t="inlineStr">
        <is>
          <t>East</t>
        </is>
      </c>
      <c r="E7" t="inlineStr">
        <is>
          <t>Atlantic</t>
        </is>
      </c>
      <c r="F7" s="3" t="n">
        <v>1534.6</v>
      </c>
      <c r="G7" s="3" t="n">
        <v>100.729</v>
      </c>
      <c r="H7" s="3" t="n">
        <v>12.87017183771503</v>
      </c>
      <c r="I7" s="3" t="n">
        <v>79</v>
      </c>
      <c r="J7" s="3" t="n">
        <v>92</v>
      </c>
      <c r="K7" s="3" t="n">
        <v>101</v>
      </c>
      <c r="L7" s="3" t="n">
        <v>110</v>
      </c>
      <c r="M7" s="3" t="n">
        <v>122</v>
      </c>
      <c r="N7" s="4" t="n">
        <v>0.666</v>
      </c>
      <c r="O7" s="4" t="n">
        <v>0.2065</v>
      </c>
      <c r="P7" s="4" t="n">
        <v>0.0544</v>
      </c>
      <c r="Q7" s="4" t="n">
        <v>0.0959</v>
      </c>
      <c r="R7" s="4" t="n">
        <v>0.0534</v>
      </c>
      <c r="S7" s="4" t="n">
        <v>0.0201</v>
      </c>
      <c r="T7" s="4" t="n">
        <v>0.5409</v>
      </c>
      <c r="U7" s="4" t="n">
        <v>0.2529</v>
      </c>
      <c r="V7" t="n">
        <v>1.5</v>
      </c>
      <c r="W7" t="n">
        <v>18.73</v>
      </c>
      <c r="X7" t="inlineStr">
        <is>
          <t>+1773</t>
        </is>
      </c>
    </row>
    <row r="8">
      <c r="A8" t="n">
        <v>7</v>
      </c>
      <c r="B8" t="inlineStr">
        <is>
          <t>Minnesota Wild</t>
        </is>
      </c>
      <c r="C8" t="inlineStr">
        <is>
          <t>MIN</t>
        </is>
      </c>
      <c r="D8" t="inlineStr">
        <is>
          <t>West</t>
        </is>
      </c>
      <c r="E8" t="inlineStr">
        <is>
          <t>Central</t>
        </is>
      </c>
      <c r="F8" s="3" t="n">
        <v>1528.5</v>
      </c>
      <c r="G8" s="3" t="n">
        <v>99.8608</v>
      </c>
      <c r="H8" s="3" t="n">
        <v>12.92358020258029</v>
      </c>
      <c r="I8" s="3" t="n">
        <v>78</v>
      </c>
      <c r="J8" s="3" t="n">
        <v>91</v>
      </c>
      <c r="K8" s="3" t="n">
        <v>100</v>
      </c>
      <c r="L8" s="3" t="n">
        <v>109</v>
      </c>
      <c r="M8" s="3" t="n">
        <v>121</v>
      </c>
      <c r="N8" s="4" t="n">
        <v>0.7101</v>
      </c>
      <c r="O8" s="4" t="n">
        <v>0.1484</v>
      </c>
      <c r="P8" s="4" t="n">
        <v>0.0444</v>
      </c>
      <c r="Q8" s="4" t="n">
        <v>0.0955</v>
      </c>
      <c r="R8" s="4" t="n">
        <v>0.0443</v>
      </c>
      <c r="S8" s="4" t="n">
        <v>0.0243</v>
      </c>
      <c r="T8" s="4" t="n">
        <v>0.5192</v>
      </c>
      <c r="U8" s="4" t="n">
        <v>0.235</v>
      </c>
      <c r="V8" t="n">
        <v>1.41</v>
      </c>
      <c r="W8" t="n">
        <v>22.57</v>
      </c>
      <c r="X8" t="inlineStr">
        <is>
          <t>+2157</t>
        </is>
      </c>
    </row>
    <row r="9">
      <c r="A9" t="n">
        <v>8</v>
      </c>
      <c r="B9" t="inlineStr">
        <is>
          <t>Buffalo Sabres</t>
        </is>
      </c>
      <c r="C9" t="inlineStr">
        <is>
          <t>BUF</t>
        </is>
      </c>
      <c r="D9" t="inlineStr">
        <is>
          <t>East</t>
        </is>
      </c>
      <c r="E9" t="inlineStr">
        <is>
          <t>Atlantic</t>
        </is>
      </c>
      <c r="F9" s="3" t="n">
        <v>1525.6</v>
      </c>
      <c r="G9" s="3" t="n">
        <v>98.22629999999999</v>
      </c>
      <c r="H9" s="3" t="n">
        <v>12.9157566556125</v>
      </c>
      <c r="I9" s="3" t="n">
        <v>77</v>
      </c>
      <c r="J9" s="3" t="n">
        <v>90</v>
      </c>
      <c r="K9" s="3" t="n">
        <v>98</v>
      </c>
      <c r="L9" s="3" t="n">
        <v>107</v>
      </c>
      <c r="M9" s="3" t="n">
        <v>119</v>
      </c>
      <c r="N9" s="4" t="n">
        <v>0.6052</v>
      </c>
      <c r="O9" s="4" t="n">
        <v>0.1507</v>
      </c>
      <c r="P9" s="4" t="n">
        <v>0.0369</v>
      </c>
      <c r="Q9" s="4" t="n">
        <v>0.0727</v>
      </c>
      <c r="R9" s="4" t="n">
        <v>0.0367</v>
      </c>
      <c r="S9" s="4" t="n">
        <v>0.0335</v>
      </c>
      <c r="T9" s="4" t="n">
        <v>0.4674</v>
      </c>
      <c r="U9" s="4" t="n">
        <v>0.1945</v>
      </c>
      <c r="V9" t="n">
        <v>1.65</v>
      </c>
      <c r="W9" t="n">
        <v>27.25</v>
      </c>
      <c r="X9" t="inlineStr">
        <is>
          <t>+2625</t>
        </is>
      </c>
    </row>
    <row r="10">
      <c r="A10" t="n">
        <v>9</v>
      </c>
      <c r="B10" t="inlineStr">
        <is>
          <t>Edmonton Oilers</t>
        </is>
      </c>
      <c r="C10" t="inlineStr">
        <is>
          <t>EDM</t>
        </is>
      </c>
      <c r="D10" t="inlineStr">
        <is>
          <t>West</t>
        </is>
      </c>
      <c r="E10" t="inlineStr">
        <is>
          <t>Pacific</t>
        </is>
      </c>
      <c r="F10" s="3" t="n">
        <v>1517.6</v>
      </c>
      <c r="G10" s="3" t="n">
        <v>97.81489999999999</v>
      </c>
      <c r="H10" s="3" t="n">
        <v>12.97066157897043</v>
      </c>
      <c r="I10" s="3" t="n">
        <v>76</v>
      </c>
      <c r="J10" s="3" t="n">
        <v>89</v>
      </c>
      <c r="K10" s="3" t="n">
        <v>98</v>
      </c>
      <c r="L10" s="3" t="n">
        <v>107</v>
      </c>
      <c r="M10" s="3" t="n">
        <v>119</v>
      </c>
      <c r="N10" s="4" t="n">
        <v>0.6871</v>
      </c>
      <c r="O10" s="4" t="n">
        <v>0.2315</v>
      </c>
      <c r="P10" s="4" t="n">
        <v>0.0338</v>
      </c>
      <c r="Q10" s="4" t="n">
        <v>0.0863</v>
      </c>
      <c r="R10" s="4" t="n">
        <v>0.0381</v>
      </c>
      <c r="S10" s="4" t="n">
        <v>0.0363</v>
      </c>
      <c r="T10" s="4" t="n">
        <v>0.4525</v>
      </c>
      <c r="U10" s="4" t="n">
        <v>0.1855</v>
      </c>
      <c r="V10" t="n">
        <v>1.46</v>
      </c>
      <c r="W10" t="n">
        <v>26.25</v>
      </c>
      <c r="X10" t="inlineStr">
        <is>
          <t>+2525</t>
        </is>
      </c>
    </row>
    <row r="11">
      <c r="A11" t="n">
        <v>10</v>
      </c>
      <c r="B11" t="inlineStr">
        <is>
          <t>Montreal Canadiens</t>
        </is>
      </c>
      <c r="C11" t="inlineStr">
        <is>
          <t>MTL</t>
        </is>
      </c>
      <c r="D11" t="inlineStr">
        <is>
          <t>East</t>
        </is>
      </c>
      <c r="E11" t="inlineStr">
        <is>
          <t>Atlantic</t>
        </is>
      </c>
      <c r="F11" s="3" t="n">
        <v>1517.9</v>
      </c>
      <c r="G11" s="3" t="n">
        <v>96.541</v>
      </c>
      <c r="H11" s="3" t="n">
        <v>13.03643792879739</v>
      </c>
      <c r="I11" s="3" t="n">
        <v>75</v>
      </c>
      <c r="J11" s="3" t="n">
        <v>87</v>
      </c>
      <c r="K11" s="3" t="n">
        <v>97</v>
      </c>
      <c r="L11" s="3" t="n">
        <v>106</v>
      </c>
      <c r="M11" s="3" t="n">
        <v>118</v>
      </c>
      <c r="N11" s="4" t="n">
        <v>0.5466</v>
      </c>
      <c r="O11" s="4" t="n">
        <v>0.1247</v>
      </c>
      <c r="P11" s="4" t="n">
        <v>0.0276</v>
      </c>
      <c r="Q11" s="4" t="n">
        <v>0.0603</v>
      </c>
      <c r="R11" s="4" t="n">
        <v>0.0288</v>
      </c>
      <c r="S11" s="4" t="n">
        <v>0.0401</v>
      </c>
      <c r="T11" s="4" t="n">
        <v>0.4135</v>
      </c>
      <c r="U11" s="4" t="n">
        <v>0.161</v>
      </c>
      <c r="V11" t="n">
        <v>1.83</v>
      </c>
      <c r="W11" t="n">
        <v>34.72</v>
      </c>
      <c r="X11" t="inlineStr">
        <is>
          <t>+3372</t>
        </is>
      </c>
    </row>
    <row r="12">
      <c r="A12" t="n">
        <v>11</v>
      </c>
      <c r="B12" t="inlineStr">
        <is>
          <t>Washington Capitals</t>
        </is>
      </c>
      <c r="C12" t="inlineStr">
        <is>
          <t>WSH</t>
        </is>
      </c>
      <c r="D12" t="inlineStr">
        <is>
          <t>East</t>
        </is>
      </c>
      <c r="E12" t="inlineStr">
        <is>
          <t>Metropolitan</t>
        </is>
      </c>
      <c r="F12" s="3" t="n">
        <v>1518.2</v>
      </c>
      <c r="G12" s="3" t="n">
        <v>96.4276</v>
      </c>
      <c r="H12" s="3" t="n">
        <v>12.84949295446784</v>
      </c>
      <c r="I12" s="3" t="n">
        <v>75</v>
      </c>
      <c r="J12" s="3" t="n">
        <v>88</v>
      </c>
      <c r="K12" s="3" t="n">
        <v>97</v>
      </c>
      <c r="L12" s="3" t="n">
        <v>105</v>
      </c>
      <c r="M12" s="3" t="n">
        <v>117</v>
      </c>
      <c r="N12" s="4" t="n">
        <v>0.5467</v>
      </c>
      <c r="O12" s="4" t="n">
        <v>0.1141</v>
      </c>
      <c r="P12" s="4" t="n">
        <v>0.0286</v>
      </c>
      <c r="Q12" s="4" t="n">
        <v>0.0597</v>
      </c>
      <c r="R12" s="4" t="n">
        <v>0.0293</v>
      </c>
      <c r="S12" s="4" t="n">
        <v>0.0443</v>
      </c>
      <c r="T12" s="4" t="n">
        <v>0.4131</v>
      </c>
      <c r="U12" s="4" t="n">
        <v>0.1568</v>
      </c>
      <c r="V12" t="n">
        <v>1.83</v>
      </c>
      <c r="W12" t="n">
        <v>34.13</v>
      </c>
      <c r="X12" t="inlineStr">
        <is>
          <t>+3313</t>
        </is>
      </c>
    </row>
    <row r="13">
      <c r="A13" t="n">
        <v>12</v>
      </c>
      <c r="B13" t="inlineStr">
        <is>
          <t>Utah Mammoth</t>
        </is>
      </c>
      <c r="C13" t="inlineStr">
        <is>
          <t>UTA</t>
        </is>
      </c>
      <c r="D13" t="inlineStr">
        <is>
          <t>West</t>
        </is>
      </c>
      <c r="E13" t="inlineStr">
        <is>
          <t>Central</t>
        </is>
      </c>
      <c r="F13" s="3" t="n">
        <v>1509.8</v>
      </c>
      <c r="G13" s="3" t="n">
        <v>95.1014</v>
      </c>
      <c r="H13" s="3" t="n">
        <v>12.98826345354736</v>
      </c>
      <c r="I13" s="3" t="n">
        <v>73</v>
      </c>
      <c r="J13" s="3" t="n">
        <v>86</v>
      </c>
      <c r="K13" s="3" t="n">
        <v>95</v>
      </c>
      <c r="L13" s="3" t="n">
        <v>104</v>
      </c>
      <c r="M13" s="3" t="n">
        <v>116</v>
      </c>
      <c r="N13" s="4" t="n">
        <v>0.5718</v>
      </c>
      <c r="O13" s="4" t="n">
        <v>0.089</v>
      </c>
      <c r="P13" s="4" t="n">
        <v>0.0215</v>
      </c>
      <c r="Q13" s="4" t="n">
        <v>0.0549</v>
      </c>
      <c r="R13" s="4" t="n">
        <v>0.0249</v>
      </c>
      <c r="S13" s="4" t="n">
        <v>0.0559</v>
      </c>
      <c r="T13" s="4" t="n">
        <v>0.3705</v>
      </c>
      <c r="U13" s="4" t="n">
        <v>0.1352</v>
      </c>
      <c r="V13" t="n">
        <v>1.75</v>
      </c>
      <c r="W13" t="n">
        <v>40.16</v>
      </c>
      <c r="X13" t="inlineStr">
        <is>
          <t>+3916</t>
        </is>
      </c>
    </row>
    <row r="14">
      <c r="A14" t="n">
        <v>13</v>
      </c>
      <c r="B14" t="inlineStr">
        <is>
          <t>Pittsburgh Penguins</t>
        </is>
      </c>
      <c r="C14" t="inlineStr">
        <is>
          <t>PIT</t>
        </is>
      </c>
      <c r="D14" t="inlineStr">
        <is>
          <t>East</t>
        </is>
      </c>
      <c r="E14" t="inlineStr">
        <is>
          <t>Metropolitan</t>
        </is>
      </c>
      <c r="F14" s="3" t="n">
        <v>1509.7</v>
      </c>
      <c r="G14" s="3" t="n">
        <v>94.5928</v>
      </c>
      <c r="H14" s="3" t="n">
        <v>13.04827244892557</v>
      </c>
      <c r="I14" s="3" t="n">
        <v>73</v>
      </c>
      <c r="J14" s="3" t="n">
        <v>86</v>
      </c>
      <c r="K14" s="3" t="n">
        <v>95</v>
      </c>
      <c r="L14" s="3" t="n">
        <v>104</v>
      </c>
      <c r="M14" s="3" t="n">
        <v>116</v>
      </c>
      <c r="N14" s="4" t="n">
        <v>0.4945</v>
      </c>
      <c r="O14" s="4" t="n">
        <v>0.0935</v>
      </c>
      <c r="P14" s="4" t="n">
        <v>0.021</v>
      </c>
      <c r="Q14" s="4" t="n">
        <v>0.0472</v>
      </c>
      <c r="R14" s="4" t="n">
        <v>0.022</v>
      </c>
      <c r="S14" s="4" t="n">
        <v>0.0592</v>
      </c>
      <c r="T14" s="4" t="n">
        <v>0.3579</v>
      </c>
      <c r="U14" s="4" t="n">
        <v>0.1275</v>
      </c>
      <c r="V14" t="n">
        <v>2.02</v>
      </c>
      <c r="W14" t="n">
        <v>45.45</v>
      </c>
      <c r="X14" t="inlineStr">
        <is>
          <t>+4445</t>
        </is>
      </c>
    </row>
    <row r="15">
      <c r="A15" t="n">
        <v>14</v>
      </c>
      <c r="B15" t="inlineStr">
        <is>
          <t>Florida Panthers</t>
        </is>
      </c>
      <c r="C15" t="inlineStr">
        <is>
          <t>FLA</t>
        </is>
      </c>
      <c r="D15" t="inlineStr">
        <is>
          <t>East</t>
        </is>
      </c>
      <c r="E15" t="inlineStr">
        <is>
          <t>Atlantic</t>
        </is>
      </c>
      <c r="F15" s="3" t="n">
        <v>1509.1</v>
      </c>
      <c r="G15" s="3" t="n">
        <v>94.09180000000001</v>
      </c>
      <c r="H15" s="3" t="n">
        <v>12.82906977388175</v>
      </c>
      <c r="I15" s="3" t="n">
        <v>73</v>
      </c>
      <c r="J15" s="3" t="n">
        <v>85</v>
      </c>
      <c r="K15" s="3" t="n">
        <v>94</v>
      </c>
      <c r="L15" s="3" t="n">
        <v>103</v>
      </c>
      <c r="M15" s="3" t="n">
        <v>115</v>
      </c>
      <c r="N15" s="4" t="n">
        <v>0.4755</v>
      </c>
      <c r="O15" s="4" t="n">
        <v>0.0825</v>
      </c>
      <c r="P15" s="4" t="n">
        <v>0.0158</v>
      </c>
      <c r="Q15" s="4" t="n">
        <v>0.0477</v>
      </c>
      <c r="R15" s="4" t="n">
        <v>0.0219</v>
      </c>
      <c r="S15" s="4" t="n">
        <v>0.0599</v>
      </c>
      <c r="T15" s="4" t="n">
        <v>0.3456</v>
      </c>
      <c r="U15" s="4" t="n">
        <v>0.1132</v>
      </c>
      <c r="V15" t="n">
        <v>2.1</v>
      </c>
      <c r="W15" t="n">
        <v>45.66</v>
      </c>
      <c r="X15" t="inlineStr">
        <is>
          <t>+4466</t>
        </is>
      </c>
    </row>
    <row r="16">
      <c r="A16" t="n">
        <v>15</v>
      </c>
      <c r="B16" t="inlineStr">
        <is>
          <t>Philadelphia Flyers</t>
        </is>
      </c>
      <c r="C16" t="inlineStr">
        <is>
          <t>PHI</t>
        </is>
      </c>
      <c r="D16" t="inlineStr">
        <is>
          <t>East</t>
        </is>
      </c>
      <c r="E16" t="inlineStr">
        <is>
          <t>Metropolitan</t>
        </is>
      </c>
      <c r="F16" s="3" t="n">
        <v>1506.1</v>
      </c>
      <c r="G16" s="3" t="n">
        <v>93.4772</v>
      </c>
      <c r="H16" s="3" t="n">
        <v>13.0136933950965</v>
      </c>
      <c r="I16" s="3" t="n">
        <v>72</v>
      </c>
      <c r="J16" s="3" t="n">
        <v>85</v>
      </c>
      <c r="K16" s="3" t="n">
        <v>93</v>
      </c>
      <c r="L16" s="3" t="n">
        <v>102</v>
      </c>
      <c r="M16" s="3" t="n">
        <v>115</v>
      </c>
      <c r="N16" s="4" t="n">
        <v>0.4582</v>
      </c>
      <c r="O16" s="4" t="n">
        <v>0.0803</v>
      </c>
      <c r="P16" s="4" t="n">
        <v>0.0169</v>
      </c>
      <c r="Q16" s="4" t="n">
        <v>0.0444</v>
      </c>
      <c r="R16" s="4" t="n">
        <v>0.0218</v>
      </c>
      <c r="S16" s="4" t="n">
        <v>0.0653</v>
      </c>
      <c r="T16" s="4" t="n">
        <v>0.3294</v>
      </c>
      <c r="U16" s="4" t="n">
        <v>0.1111</v>
      </c>
      <c r="V16" t="n">
        <v>2.18</v>
      </c>
      <c r="W16" t="n">
        <v>45.87</v>
      </c>
      <c r="X16" t="inlineStr">
        <is>
          <t>+4487</t>
        </is>
      </c>
    </row>
    <row r="17">
      <c r="A17" t="n">
        <v>16</v>
      </c>
      <c r="B17" t="inlineStr">
        <is>
          <t>Columbus Blue Jackets</t>
        </is>
      </c>
      <c r="C17" t="inlineStr">
        <is>
          <t>CBJ</t>
        </is>
      </c>
      <c r="D17" t="inlineStr">
        <is>
          <t>East</t>
        </is>
      </c>
      <c r="E17" t="inlineStr">
        <is>
          <t>Metropolitan</t>
        </is>
      </c>
      <c r="F17" s="3" t="n">
        <v>1505.3</v>
      </c>
      <c r="G17" s="3" t="n">
        <v>93.2741</v>
      </c>
      <c r="H17" s="3" t="n">
        <v>13.10576000407944</v>
      </c>
      <c r="I17" s="3" t="n">
        <v>71</v>
      </c>
      <c r="J17" s="3" t="n">
        <v>85</v>
      </c>
      <c r="K17" s="3" t="n">
        <v>93</v>
      </c>
      <c r="L17" s="3" t="n">
        <v>102</v>
      </c>
      <c r="M17" s="3" t="n">
        <v>114</v>
      </c>
      <c r="N17" s="4" t="n">
        <v>0.4566</v>
      </c>
      <c r="O17" s="4" t="n">
        <v>0.078</v>
      </c>
      <c r="P17" s="4" t="n">
        <v>0.0158</v>
      </c>
      <c r="Q17" s="4" t="n">
        <v>0.039</v>
      </c>
      <c r="R17" s="4" t="n">
        <v>0.0189</v>
      </c>
      <c r="S17" s="4" t="n">
        <v>0.0692</v>
      </c>
      <c r="T17" s="4" t="n">
        <v>0.3192</v>
      </c>
      <c r="U17" s="4" t="n">
        <v>0.1072</v>
      </c>
      <c r="V17" t="n">
        <v>2.19</v>
      </c>
      <c r="W17" t="n">
        <v>52.91</v>
      </c>
      <c r="X17" t="inlineStr">
        <is>
          <t>+5191</t>
        </is>
      </c>
    </row>
    <row r="18">
      <c r="A18" t="n">
        <v>17</v>
      </c>
      <c r="B18" t="inlineStr">
        <is>
          <t>New Jersey Devils</t>
        </is>
      </c>
      <c r="C18" t="inlineStr">
        <is>
          <t>NJD</t>
        </is>
      </c>
      <c r="D18" t="inlineStr">
        <is>
          <t>East</t>
        </is>
      </c>
      <c r="E18" t="inlineStr">
        <is>
          <t>Metropolitan</t>
        </is>
      </c>
      <c r="F18" s="3" t="n">
        <v>1502.3</v>
      </c>
      <c r="G18" s="3" t="n">
        <v>92.6472</v>
      </c>
      <c r="H18" s="3" t="n">
        <v>12.93984838116787</v>
      </c>
      <c r="I18" s="3" t="n">
        <v>71</v>
      </c>
      <c r="J18" s="3" t="n">
        <v>84</v>
      </c>
      <c r="K18" s="3" t="n">
        <v>93</v>
      </c>
      <c r="L18" s="3" t="n">
        <v>101</v>
      </c>
      <c r="M18" s="3" t="n">
        <v>114</v>
      </c>
      <c r="N18" s="4" t="n">
        <v>0.4332</v>
      </c>
      <c r="O18" s="4" t="n">
        <v>0.0708</v>
      </c>
      <c r="P18" s="4" t="n">
        <v>0.0132</v>
      </c>
      <c r="Q18" s="4" t="n">
        <v>0.038</v>
      </c>
      <c r="R18" s="4" t="n">
        <v>0.0173</v>
      </c>
      <c r="S18" s="4" t="n">
        <v>0.0708</v>
      </c>
      <c r="T18" s="4" t="n">
        <v>0.303</v>
      </c>
      <c r="U18" s="4" t="n">
        <v>0.09810000000000001</v>
      </c>
      <c r="V18" t="n">
        <v>2.31</v>
      </c>
      <c r="W18" t="n">
        <v>57.8</v>
      </c>
      <c r="X18" t="inlineStr">
        <is>
          <t>+5680</t>
        </is>
      </c>
    </row>
    <row r="19">
      <c r="A19" t="n">
        <v>18</v>
      </c>
      <c r="B19" t="inlineStr">
        <is>
          <t>Los Angeles Kings</t>
        </is>
      </c>
      <c r="C19" t="inlineStr">
        <is>
          <t>LAK</t>
        </is>
      </c>
      <c r="D19" t="inlineStr">
        <is>
          <t>West</t>
        </is>
      </c>
      <c r="E19" t="inlineStr">
        <is>
          <t>Pacific</t>
        </is>
      </c>
      <c r="F19" s="3" t="n">
        <v>1497.9</v>
      </c>
      <c r="G19" s="3" t="n">
        <v>92.4469</v>
      </c>
      <c r="H19" s="3" t="n">
        <v>13.19024558709446</v>
      </c>
      <c r="I19" s="3" t="n">
        <v>70</v>
      </c>
      <c r="J19" s="3" t="n">
        <v>83</v>
      </c>
      <c r="K19" s="3" t="n">
        <v>92</v>
      </c>
      <c r="L19" s="3" t="n">
        <v>102</v>
      </c>
      <c r="M19" s="3" t="n">
        <v>114</v>
      </c>
      <c r="N19" s="4" t="n">
        <v>0.5242</v>
      </c>
      <c r="O19" s="4" t="n">
        <v>0.1264</v>
      </c>
      <c r="P19" s="4" t="n">
        <v>0.0149</v>
      </c>
      <c r="Q19" s="4" t="n">
        <v>0.048</v>
      </c>
      <c r="R19" s="4" t="n">
        <v>0.0187</v>
      </c>
      <c r="S19" s="4" t="n">
        <v>0.0805</v>
      </c>
      <c r="T19" s="4" t="n">
        <v>0.3035</v>
      </c>
      <c r="U19" s="4" t="n">
        <v>0.0999</v>
      </c>
      <c r="V19" t="n">
        <v>1.91</v>
      </c>
      <c r="W19" t="n">
        <v>53.48</v>
      </c>
      <c r="X19" t="inlineStr">
        <is>
          <t>+5248</t>
        </is>
      </c>
    </row>
    <row r="20">
      <c r="A20" t="n">
        <v>19</v>
      </c>
      <c r="B20" t="inlineStr">
        <is>
          <t>Detroit Red Wings</t>
        </is>
      </c>
      <c r="C20" t="inlineStr">
        <is>
          <t>DET</t>
        </is>
      </c>
      <c r="D20" t="inlineStr">
        <is>
          <t>East</t>
        </is>
      </c>
      <c r="E20" t="inlineStr">
        <is>
          <t>Atlantic</t>
        </is>
      </c>
      <c r="F20" s="3" t="n">
        <v>1498.9</v>
      </c>
      <c r="G20" s="3" t="n">
        <v>91.7891</v>
      </c>
      <c r="H20" s="3" t="n">
        <v>13.04092127699478</v>
      </c>
      <c r="I20" s="3" t="n">
        <v>70</v>
      </c>
      <c r="J20" s="3" t="n">
        <v>83</v>
      </c>
      <c r="K20" s="3" t="n">
        <v>92</v>
      </c>
      <c r="L20" s="3" t="n">
        <v>101</v>
      </c>
      <c r="M20" s="3" t="n">
        <v>113</v>
      </c>
      <c r="N20" s="4" t="n">
        <v>0.4031</v>
      </c>
      <c r="O20" s="4" t="n">
        <v>0.06850000000000001</v>
      </c>
      <c r="P20" s="4" t="n">
        <v>0.0121</v>
      </c>
      <c r="Q20" s="4" t="n">
        <v>0.0315</v>
      </c>
      <c r="R20" s="4" t="n">
        <v>0.0144</v>
      </c>
      <c r="S20" s="4" t="n">
        <v>0.08550000000000001</v>
      </c>
      <c r="T20" s="4" t="n">
        <v>0.2859</v>
      </c>
      <c r="U20" s="4" t="n">
        <v>0.0868</v>
      </c>
      <c r="V20" t="n">
        <v>2.48</v>
      </c>
      <c r="W20" t="n">
        <v>69.44</v>
      </c>
      <c r="X20" t="inlineStr">
        <is>
          <t>+6844</t>
        </is>
      </c>
    </row>
    <row r="21">
      <c r="A21" t="n">
        <v>20</v>
      </c>
      <c r="B21" t="inlineStr">
        <is>
          <t>St. Louis Blues</t>
        </is>
      </c>
      <c r="C21" t="inlineStr">
        <is>
          <t>STL</t>
        </is>
      </c>
      <c r="D21" t="inlineStr">
        <is>
          <t>West</t>
        </is>
      </c>
      <c r="E21" t="inlineStr">
        <is>
          <t>Central</t>
        </is>
      </c>
      <c r="F21" s="3" t="n">
        <v>1496.8</v>
      </c>
      <c r="G21" s="3" t="n">
        <v>91.7461</v>
      </c>
      <c r="H21" s="3" t="n">
        <v>13.14392297075367</v>
      </c>
      <c r="I21" s="3" t="n">
        <v>70</v>
      </c>
      <c r="J21" s="3" t="n">
        <v>83</v>
      </c>
      <c r="K21" s="3" t="n">
        <v>92</v>
      </c>
      <c r="L21" s="3" t="n">
        <v>101</v>
      </c>
      <c r="M21" s="3" t="n">
        <v>113</v>
      </c>
      <c r="N21" s="4" t="n">
        <v>0.4689</v>
      </c>
      <c r="O21" s="4" t="n">
        <v>0.0561</v>
      </c>
      <c r="P21" s="4" t="n">
        <v>0.0135</v>
      </c>
      <c r="Q21" s="4" t="n">
        <v>0.0401</v>
      </c>
      <c r="R21" s="4" t="n">
        <v>0.0164</v>
      </c>
      <c r="S21" s="4" t="n">
        <v>0.0892</v>
      </c>
      <c r="T21" s="4" t="n">
        <v>0.2757</v>
      </c>
      <c r="U21" s="4" t="n">
        <v>0.0887</v>
      </c>
      <c r="V21" t="n">
        <v>2.13</v>
      </c>
      <c r="W21" t="n">
        <v>60.98</v>
      </c>
      <c r="X21" t="inlineStr">
        <is>
          <t>+5998</t>
        </is>
      </c>
    </row>
    <row r="22">
      <c r="A22" t="n">
        <v>21</v>
      </c>
      <c r="B22" t="inlineStr">
        <is>
          <t>Anaheim Ducks</t>
        </is>
      </c>
      <c r="C22" t="inlineStr">
        <is>
          <t>ANA</t>
        </is>
      </c>
      <c r="D22" t="inlineStr">
        <is>
          <t>West</t>
        </is>
      </c>
      <c r="E22" t="inlineStr">
        <is>
          <t>Pacific</t>
        </is>
      </c>
      <c r="F22" s="3" t="n">
        <v>1494.5</v>
      </c>
      <c r="G22" s="3" t="n">
        <v>91.721</v>
      </c>
      <c r="H22" s="3" t="n">
        <v>12.98779532032778</v>
      </c>
      <c r="I22" s="3" t="n">
        <v>70</v>
      </c>
      <c r="J22" s="3" t="n">
        <v>83</v>
      </c>
      <c r="K22" s="3" t="n">
        <v>92</v>
      </c>
      <c r="L22" s="3" t="n">
        <v>101</v>
      </c>
      <c r="M22" s="3" t="n">
        <v>113</v>
      </c>
      <c r="N22" s="4" t="n">
        <v>0.5085</v>
      </c>
      <c r="O22" s="4" t="n">
        <v>0.1089</v>
      </c>
      <c r="P22" s="4" t="n">
        <v>0.0102</v>
      </c>
      <c r="Q22" s="4" t="n">
        <v>0.0449</v>
      </c>
      <c r="R22" s="4" t="n">
        <v>0.0179</v>
      </c>
      <c r="S22" s="4" t="n">
        <v>0.0885</v>
      </c>
      <c r="T22" s="4" t="n">
        <v>0.2752</v>
      </c>
      <c r="U22" s="4" t="n">
        <v>0.0862</v>
      </c>
      <c r="V22" t="n">
        <v>1.97</v>
      </c>
      <c r="W22" t="n">
        <v>55.87</v>
      </c>
      <c r="X22" t="inlineStr">
        <is>
          <t>+5487</t>
        </is>
      </c>
    </row>
    <row r="23">
      <c r="A23" t="n">
        <v>22</v>
      </c>
      <c r="B23" t="inlineStr">
        <is>
          <t>Boston Bruins</t>
        </is>
      </c>
      <c r="C23" t="inlineStr">
        <is>
          <t>BOS</t>
        </is>
      </c>
      <c r="D23" t="inlineStr">
        <is>
          <t>East</t>
        </is>
      </c>
      <c r="E23" t="inlineStr">
        <is>
          <t>Atlantic</t>
        </is>
      </c>
      <c r="F23" s="3" t="n">
        <v>1498.7</v>
      </c>
      <c r="G23" s="3" t="n">
        <v>91.6178</v>
      </c>
      <c r="H23" s="3" t="n">
        <v>13.02996934647649</v>
      </c>
      <c r="I23" s="3" t="n">
        <v>70</v>
      </c>
      <c r="J23" s="3" t="n">
        <v>83</v>
      </c>
      <c r="K23" s="3" t="n">
        <v>92</v>
      </c>
      <c r="L23" s="3" t="n">
        <v>101</v>
      </c>
      <c r="M23" s="3" t="n">
        <v>113</v>
      </c>
      <c r="N23" s="4" t="n">
        <v>0.4013</v>
      </c>
      <c r="O23" s="4" t="n">
        <v>0.0682</v>
      </c>
      <c r="P23" s="4" t="n">
        <v>0.0121</v>
      </c>
      <c r="Q23" s="4" t="n">
        <v>0.0336</v>
      </c>
      <c r="R23" s="4" t="n">
        <v>0.0163</v>
      </c>
      <c r="S23" s="4" t="n">
        <v>0.0853</v>
      </c>
      <c r="T23" s="4" t="n">
        <v>0.2791</v>
      </c>
      <c r="U23" s="4" t="n">
        <v>0.0835</v>
      </c>
      <c r="V23" t="n">
        <v>2.49</v>
      </c>
      <c r="W23" t="n">
        <v>61.35</v>
      </c>
      <c r="X23" t="inlineStr">
        <is>
          <t>+6035</t>
        </is>
      </c>
    </row>
    <row r="24">
      <c r="A24" t="n">
        <v>23</v>
      </c>
      <c r="B24" t="inlineStr">
        <is>
          <t>Winnipeg Jets</t>
        </is>
      </c>
      <c r="C24" t="inlineStr">
        <is>
          <t>WPG</t>
        </is>
      </c>
      <c r="D24" t="inlineStr">
        <is>
          <t>West</t>
        </is>
      </c>
      <c r="E24" t="inlineStr">
        <is>
          <t>Central</t>
        </is>
      </c>
      <c r="F24" s="3" t="n">
        <v>1494.5</v>
      </c>
      <c r="G24" s="3" t="n">
        <v>91.2803</v>
      </c>
      <c r="H24" s="3" t="n">
        <v>12.90337869041139</v>
      </c>
      <c r="I24" s="3" t="n">
        <v>70</v>
      </c>
      <c r="J24" s="3" t="n">
        <v>83</v>
      </c>
      <c r="K24" s="3" t="n">
        <v>91</v>
      </c>
      <c r="L24" s="3" t="n">
        <v>100</v>
      </c>
      <c r="M24" s="3" t="n">
        <v>112</v>
      </c>
      <c r="N24" s="4" t="n">
        <v>0.456</v>
      </c>
      <c r="O24" s="4" t="n">
        <v>0.0506</v>
      </c>
      <c r="P24" s="4" t="n">
        <v>0.0091</v>
      </c>
      <c r="Q24" s="4" t="n">
        <v>0.0373</v>
      </c>
      <c r="R24" s="4" t="n">
        <v>0.0148</v>
      </c>
      <c r="S24" s="4" t="n">
        <v>0.092</v>
      </c>
      <c r="T24" s="4" t="n">
        <v>0.2679</v>
      </c>
      <c r="U24" s="4" t="n">
        <v>0.0784</v>
      </c>
      <c r="V24" t="n">
        <v>2.19</v>
      </c>
      <c r="W24" t="n">
        <v>67.56999999999999</v>
      </c>
      <c r="X24" t="inlineStr">
        <is>
          <t>+6657</t>
        </is>
      </c>
    </row>
    <row r="25">
      <c r="A25" t="n">
        <v>24</v>
      </c>
      <c r="B25" t="inlineStr">
        <is>
          <t>Nashville Predators</t>
        </is>
      </c>
      <c r="C25" t="inlineStr">
        <is>
          <t>NSH</t>
        </is>
      </c>
      <c r="D25" t="inlineStr">
        <is>
          <t>West</t>
        </is>
      </c>
      <c r="E25" t="inlineStr">
        <is>
          <t>Central</t>
        </is>
      </c>
      <c r="F25" s="3" t="n">
        <v>1486.4</v>
      </c>
      <c r="G25" s="3" t="n">
        <v>89.2856</v>
      </c>
      <c r="H25" s="3" t="n">
        <v>12.9797257277647</v>
      </c>
      <c r="I25" s="3" t="n">
        <v>68</v>
      </c>
      <c r="J25" s="3" t="n">
        <v>80</v>
      </c>
      <c r="K25" s="3" t="n">
        <v>89</v>
      </c>
      <c r="L25" s="3" t="n">
        <v>98</v>
      </c>
      <c r="M25" s="3" t="n">
        <v>111</v>
      </c>
      <c r="N25" s="4" t="n">
        <v>0.3951</v>
      </c>
      <c r="O25" s="4" t="n">
        <v>0.0407</v>
      </c>
      <c r="P25" s="4" t="n">
        <v>0.0075</v>
      </c>
      <c r="Q25" s="4" t="n">
        <v>0.0269</v>
      </c>
      <c r="R25" s="4" t="n">
        <v>0.0118</v>
      </c>
      <c r="S25" s="4" t="n">
        <v>0.1171</v>
      </c>
      <c r="T25" s="4" t="n">
        <v>0.2182</v>
      </c>
      <c r="U25" s="4" t="n">
        <v>0.0595</v>
      </c>
      <c r="V25" t="n">
        <v>2.53</v>
      </c>
      <c r="W25" t="n">
        <v>84.75</v>
      </c>
      <c r="X25" t="inlineStr">
        <is>
          <t>+8375</t>
        </is>
      </c>
    </row>
    <row r="26">
      <c r="A26" t="n">
        <v>25</v>
      </c>
      <c r="B26" t="inlineStr">
        <is>
          <t>New York Islanders</t>
        </is>
      </c>
      <c r="C26" t="inlineStr">
        <is>
          <t>NYI</t>
        </is>
      </c>
      <c r="D26" t="inlineStr">
        <is>
          <t>East</t>
        </is>
      </c>
      <c r="E26" t="inlineStr">
        <is>
          <t>Metropolitan</t>
        </is>
      </c>
      <c r="F26" s="3" t="n">
        <v>1489.5</v>
      </c>
      <c r="G26" s="3" t="n">
        <v>88.9721</v>
      </c>
      <c r="H26" s="3" t="n">
        <v>13.08047520058607</v>
      </c>
      <c r="I26" s="3" t="n">
        <v>67</v>
      </c>
      <c r="J26" s="3" t="n">
        <v>80</v>
      </c>
      <c r="K26" s="3" t="n">
        <v>89</v>
      </c>
      <c r="L26" s="3" t="n">
        <v>98</v>
      </c>
      <c r="M26" s="3" t="n">
        <v>110</v>
      </c>
      <c r="N26" s="4" t="n">
        <v>0.3297</v>
      </c>
      <c r="O26" s="4" t="n">
        <v>0.0417</v>
      </c>
      <c r="P26" s="4" t="n">
        <v>0.0061</v>
      </c>
      <c r="Q26" s="4" t="n">
        <v>0.025</v>
      </c>
      <c r="R26" s="4" t="n">
        <v>0.0123</v>
      </c>
      <c r="S26" s="4" t="n">
        <v>0.1211</v>
      </c>
      <c r="T26" s="4" t="n">
        <v>0.216</v>
      </c>
      <c r="U26" s="4" t="n">
        <v>0.0553</v>
      </c>
      <c r="V26" t="n">
        <v>3.03</v>
      </c>
      <c r="W26" t="n">
        <v>81.3</v>
      </c>
      <c r="X26" t="inlineStr">
        <is>
          <t>+8030</t>
        </is>
      </c>
    </row>
    <row r="27">
      <c r="A27" t="n">
        <v>26</v>
      </c>
      <c r="B27" t="inlineStr">
        <is>
          <t>New York Rangers</t>
        </is>
      </c>
      <c r="C27" t="inlineStr">
        <is>
          <t>NYR</t>
        </is>
      </c>
      <c r="D27" t="inlineStr">
        <is>
          <t>East</t>
        </is>
      </c>
      <c r="E27" t="inlineStr">
        <is>
          <t>Metropolitan</t>
        </is>
      </c>
      <c r="F27" s="3" t="n">
        <v>1488.4</v>
      </c>
      <c r="G27" s="3" t="n">
        <v>88.6643</v>
      </c>
      <c r="H27" s="3" t="n">
        <v>13.2096576418733</v>
      </c>
      <c r="I27" s="3" t="n">
        <v>67</v>
      </c>
      <c r="J27" s="3" t="n">
        <v>80</v>
      </c>
      <c r="K27" s="3" t="n">
        <v>89</v>
      </c>
      <c r="L27" s="3" t="n">
        <v>98</v>
      </c>
      <c r="M27" s="3" t="n">
        <v>110</v>
      </c>
      <c r="N27" s="4" t="n">
        <v>0.3216</v>
      </c>
      <c r="O27" s="4" t="n">
        <v>0.0398</v>
      </c>
      <c r="P27" s="4" t="n">
        <v>0.0067</v>
      </c>
      <c r="Q27" s="4" t="n">
        <v>0.0232</v>
      </c>
      <c r="R27" s="4" t="n">
        <v>0.009900000000000001</v>
      </c>
      <c r="S27" s="4" t="n">
        <v>0.1325</v>
      </c>
      <c r="T27" s="4" t="n">
        <v>0.2123</v>
      </c>
      <c r="U27" s="4" t="n">
        <v>0.0563</v>
      </c>
      <c r="V27" t="n">
        <v>3.11</v>
      </c>
      <c r="W27" t="n">
        <v>101.01</v>
      </c>
      <c r="X27" t="inlineStr">
        <is>
          <t>+10001</t>
        </is>
      </c>
    </row>
    <row r="28">
      <c r="A28" t="n">
        <v>27</v>
      </c>
      <c r="B28" t="inlineStr">
        <is>
          <t>Calgary Flames</t>
        </is>
      </c>
      <c r="C28" t="inlineStr">
        <is>
          <t>CGY</t>
        </is>
      </c>
      <c r="D28" t="inlineStr">
        <is>
          <t>West</t>
        </is>
      </c>
      <c r="E28" t="inlineStr">
        <is>
          <t>Pacific</t>
        </is>
      </c>
      <c r="F28" s="3" t="n">
        <v>1474</v>
      </c>
      <c r="G28" s="3" t="n">
        <v>86.29559999999999</v>
      </c>
      <c r="H28" s="3" t="n">
        <v>13.15369615782048</v>
      </c>
      <c r="I28" s="3" t="n">
        <v>64.95000000000005</v>
      </c>
      <c r="J28" s="3" t="n">
        <v>77</v>
      </c>
      <c r="K28" s="3" t="n">
        <v>86</v>
      </c>
      <c r="L28" s="3" t="n">
        <v>95</v>
      </c>
      <c r="M28" s="3" t="n">
        <v>108</v>
      </c>
      <c r="N28" s="4" t="n">
        <v>0.3443</v>
      </c>
      <c r="O28" s="4" t="n">
        <v>0.056</v>
      </c>
      <c r="P28" s="4" t="n">
        <v>0.0049</v>
      </c>
      <c r="Q28" s="4" t="n">
        <v>0.0225</v>
      </c>
      <c r="R28" s="4" t="n">
        <v>0.008800000000000001</v>
      </c>
      <c r="S28" s="4" t="n">
        <v>0.1706</v>
      </c>
      <c r="T28" s="4" t="n">
        <v>0.1593</v>
      </c>
      <c r="U28" s="4" t="n">
        <v>0.0382</v>
      </c>
      <c r="V28" t="n">
        <v>2.9</v>
      </c>
      <c r="W28" t="n">
        <v>113.64</v>
      </c>
      <c r="X28" t="inlineStr">
        <is>
          <t>+11264</t>
        </is>
      </c>
    </row>
    <row r="29">
      <c r="A29" t="n">
        <v>28</v>
      </c>
      <c r="B29" t="inlineStr">
        <is>
          <t>Seattle Kraken</t>
        </is>
      </c>
      <c r="C29" t="inlineStr">
        <is>
          <t>SEA</t>
        </is>
      </c>
      <c r="D29" t="inlineStr">
        <is>
          <t>West</t>
        </is>
      </c>
      <c r="E29" t="inlineStr">
        <is>
          <t>Pacific</t>
        </is>
      </c>
      <c r="F29" s="3" t="n">
        <v>1469.8</v>
      </c>
      <c r="G29" s="3" t="n">
        <v>85.43510000000001</v>
      </c>
      <c r="H29" s="3" t="n">
        <v>12.98276716321761</v>
      </c>
      <c r="I29" s="3" t="n">
        <v>64</v>
      </c>
      <c r="J29" s="3" t="n">
        <v>77</v>
      </c>
      <c r="K29" s="3" t="n">
        <v>85</v>
      </c>
      <c r="L29" s="3" t="n">
        <v>94</v>
      </c>
      <c r="M29" s="3" t="n">
        <v>107</v>
      </c>
      <c r="N29" s="4" t="n">
        <v>0.3126</v>
      </c>
      <c r="O29" s="4" t="n">
        <v>0.0507</v>
      </c>
      <c r="P29" s="4" t="n">
        <v>0.0033</v>
      </c>
      <c r="Q29" s="4" t="n">
        <v>0.0188</v>
      </c>
      <c r="R29" s="4" t="n">
        <v>0.0055</v>
      </c>
      <c r="S29" s="4" t="n">
        <v>0.1825</v>
      </c>
      <c r="T29" s="4" t="n">
        <v>0.1429</v>
      </c>
      <c r="U29" s="4" t="n">
        <v>0.0332</v>
      </c>
      <c r="V29" t="n">
        <v>3.2</v>
      </c>
      <c r="W29" t="n">
        <v>181.82</v>
      </c>
      <c r="X29" t="inlineStr">
        <is>
          <t>+18082</t>
        </is>
      </c>
    </row>
    <row r="30">
      <c r="A30" t="n">
        <v>29</v>
      </c>
      <c r="B30" t="inlineStr">
        <is>
          <t>Toronto Maple Leafs</t>
        </is>
      </c>
      <c r="C30" t="inlineStr">
        <is>
          <t>TOR</t>
        </is>
      </c>
      <c r="D30" t="inlineStr">
        <is>
          <t>East</t>
        </is>
      </c>
      <c r="E30" t="inlineStr">
        <is>
          <t>Atlantic</t>
        </is>
      </c>
      <c r="F30" s="3" t="n">
        <v>1473.3</v>
      </c>
      <c r="G30" s="3" t="n">
        <v>85.0061</v>
      </c>
      <c r="H30" s="3" t="n">
        <v>13.22868710818502</v>
      </c>
      <c r="I30" s="3" t="n">
        <v>63</v>
      </c>
      <c r="J30" s="3" t="n">
        <v>76</v>
      </c>
      <c r="K30" s="3" t="n">
        <v>85</v>
      </c>
      <c r="L30" s="3" t="n">
        <v>94</v>
      </c>
      <c r="M30" s="3" t="n">
        <v>107</v>
      </c>
      <c r="N30" s="4" t="n">
        <v>0.2253</v>
      </c>
      <c r="O30" s="4" t="n">
        <v>0.0265</v>
      </c>
      <c r="P30" s="4" t="n">
        <v>0.0038</v>
      </c>
      <c r="Q30" s="4" t="n">
        <v>0.0137</v>
      </c>
      <c r="R30" s="4" t="n">
        <v>0.0045</v>
      </c>
      <c r="S30" s="4" t="n">
        <v>0.1957</v>
      </c>
      <c r="T30" s="4" t="n">
        <v>0.1376</v>
      </c>
      <c r="U30" s="4" t="n">
        <v>0.0314</v>
      </c>
      <c r="V30" t="n">
        <v>4.44</v>
      </c>
      <c r="W30" t="n">
        <v>222.22</v>
      </c>
      <c r="X30" t="inlineStr">
        <is>
          <t>+22122</t>
        </is>
      </c>
    </row>
    <row r="31">
      <c r="A31" t="n">
        <v>30</v>
      </c>
      <c r="B31" t="inlineStr">
        <is>
          <t>San Jose Sharks</t>
        </is>
      </c>
      <c r="C31" t="inlineStr">
        <is>
          <t>SJS</t>
        </is>
      </c>
      <c r="D31" t="inlineStr">
        <is>
          <t>West</t>
        </is>
      </c>
      <c r="E31" t="inlineStr">
        <is>
          <t>Pacific</t>
        </is>
      </c>
      <c r="F31" s="3" t="n">
        <v>1464.6</v>
      </c>
      <c r="G31" s="3" t="n">
        <v>84.03319999999999</v>
      </c>
      <c r="H31" s="3" t="n">
        <v>13.00973570378385</v>
      </c>
      <c r="I31" s="3" t="n">
        <v>63</v>
      </c>
      <c r="J31" s="3" t="n">
        <v>75</v>
      </c>
      <c r="K31" s="3" t="n">
        <v>84</v>
      </c>
      <c r="L31" s="3" t="n">
        <v>93</v>
      </c>
      <c r="M31" s="3" t="n">
        <v>106</v>
      </c>
      <c r="N31" s="4" t="n">
        <v>0.2785</v>
      </c>
      <c r="O31" s="4" t="n">
        <v>0.04</v>
      </c>
      <c r="P31" s="4" t="n">
        <v>0.0035</v>
      </c>
      <c r="Q31" s="4" t="n">
        <v>0.0155</v>
      </c>
      <c r="R31" s="4" t="n">
        <v>0.0059</v>
      </c>
      <c r="S31" s="4" t="n">
        <v>0.2106</v>
      </c>
      <c r="T31" s="4" t="n">
        <v>0.1181</v>
      </c>
      <c r="U31" s="4" t="n">
        <v>0.0272</v>
      </c>
      <c r="V31" t="n">
        <v>3.59</v>
      </c>
      <c r="W31" t="n">
        <v>169.49</v>
      </c>
      <c r="X31" t="inlineStr">
        <is>
          <t>+16849</t>
        </is>
      </c>
    </row>
    <row r="32">
      <c r="A32" t="n">
        <v>31</v>
      </c>
      <c r="B32" t="inlineStr">
        <is>
          <t>Vancouver Canucks</t>
        </is>
      </c>
      <c r="C32" t="inlineStr">
        <is>
          <t>VAN</t>
        </is>
      </c>
      <c r="D32" t="inlineStr">
        <is>
          <t>West</t>
        </is>
      </c>
      <c r="E32" t="inlineStr">
        <is>
          <t>Pacific</t>
        </is>
      </c>
      <c r="F32" s="3" t="n">
        <v>1445.1</v>
      </c>
      <c r="G32" s="3" t="n">
        <v>78.98999999999999</v>
      </c>
      <c r="H32" s="3" t="n">
        <v>13.01593029499407</v>
      </c>
      <c r="I32" s="3" t="n">
        <v>58</v>
      </c>
      <c r="J32" s="3" t="n">
        <v>70</v>
      </c>
      <c r="K32" s="3" t="n">
        <v>79</v>
      </c>
      <c r="L32" s="3" t="n">
        <v>88</v>
      </c>
      <c r="M32" s="3" t="n">
        <v>100.0499999999993</v>
      </c>
      <c r="N32" s="4" t="n">
        <v>0.1647</v>
      </c>
      <c r="O32" s="4" t="n">
        <v>0.0181</v>
      </c>
      <c r="P32" s="4" t="n">
        <v>0.0014</v>
      </c>
      <c r="Q32" s="4" t="n">
        <v>0.0071</v>
      </c>
      <c r="R32" s="4" t="n">
        <v>0.0022</v>
      </c>
      <c r="S32" s="4" t="n">
        <v>0.34</v>
      </c>
      <c r="T32" s="4" t="n">
        <v>0.0579</v>
      </c>
      <c r="U32" s="4" t="n">
        <v>0.0101</v>
      </c>
      <c r="V32" t="n">
        <v>6.07</v>
      </c>
      <c r="W32" t="n">
        <v>454.55</v>
      </c>
      <c r="X32" t="inlineStr">
        <is>
          <t>+45355</t>
        </is>
      </c>
    </row>
    <row r="33">
      <c r="A33" t="n">
        <v>32</v>
      </c>
      <c r="B33" t="inlineStr">
        <is>
          <t>Chicago Blackhawks</t>
        </is>
      </c>
      <c r="C33" t="inlineStr">
        <is>
          <t>CHI</t>
        </is>
      </c>
      <c r="D33" t="inlineStr">
        <is>
          <t>West</t>
        </is>
      </c>
      <c r="E33" t="inlineStr">
        <is>
          <t>Central</t>
        </is>
      </c>
      <c r="F33" s="3" t="n">
        <v>1442.2</v>
      </c>
      <c r="G33" s="3" t="n">
        <v>77.64749999999999</v>
      </c>
      <c r="H33" s="3" t="n">
        <v>13.06171139554301</v>
      </c>
      <c r="I33" s="3" t="n">
        <v>56</v>
      </c>
      <c r="J33" s="3" t="n">
        <v>69</v>
      </c>
      <c r="K33" s="3" t="n">
        <v>77</v>
      </c>
      <c r="L33" s="3" t="n">
        <v>86</v>
      </c>
      <c r="M33" s="3" t="n">
        <v>99</v>
      </c>
      <c r="N33" s="4" t="n">
        <v>0.123</v>
      </c>
      <c r="O33" s="4" t="n">
        <v>0.0055</v>
      </c>
      <c r="P33" s="4" t="n">
        <v>0.0005999999999999999</v>
      </c>
      <c r="Q33" s="4" t="n">
        <v>0.0048</v>
      </c>
      <c r="R33" s="4" t="n">
        <v>0.0015</v>
      </c>
      <c r="S33" s="4" t="n">
        <v>0.3797</v>
      </c>
      <c r="T33" s="4" t="n">
        <v>0.0496</v>
      </c>
      <c r="U33" s="4" t="n">
        <v>0.009299999999999999</v>
      </c>
      <c r="V33" t="n">
        <v>8.130000000000001</v>
      </c>
      <c r="W33" t="n">
        <v>666.67</v>
      </c>
      <c r="X33" t="inlineStr">
        <is>
          <t>+66567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Conference</t>
        </is>
      </c>
      <c r="E1" s="1" t="inlineStr">
        <is>
          <t>Division</t>
        </is>
      </c>
      <c r="F1" s="1" t="inlineStr">
        <is>
          <t>Rating</t>
        </is>
      </c>
      <c r="G1" s="1" t="inlineStr">
        <is>
          <t>xPts</t>
        </is>
      </c>
      <c r="H1" s="1" t="inlineStr">
        <is>
          <t>SD</t>
        </is>
      </c>
      <c r="I1" s="1" t="inlineStr">
        <is>
          <t>P5</t>
        </is>
      </c>
      <c r="J1" s="1" t="inlineStr">
        <is>
          <t>P25</t>
        </is>
      </c>
      <c r="K1" s="1" t="inlineStr">
        <is>
          <t>P50</t>
        </is>
      </c>
      <c r="L1" s="1" t="inlineStr">
        <is>
          <t>P75</t>
        </is>
      </c>
      <c r="M1" s="1" t="inlineStr">
        <is>
          <t>P95</t>
        </is>
      </c>
      <c r="N1" s="1" t="inlineStr">
        <is>
          <t>Playoff%</t>
        </is>
      </c>
      <c r="O1" s="1" t="inlineStr">
        <is>
          <t>Division%</t>
        </is>
      </c>
      <c r="P1" s="1" t="inlineStr">
        <is>
          <t>Presidents%</t>
        </is>
      </c>
      <c r="Q1" s="1" t="inlineStr">
        <is>
          <t>Conference%</t>
        </is>
      </c>
      <c r="R1" s="1" t="inlineStr">
        <is>
          <t>Cup%</t>
        </is>
      </c>
      <c r="S1" s="1" t="inlineStr">
        <is>
          <t>Bottom3%</t>
        </is>
      </c>
      <c r="T1" s="1" t="inlineStr">
        <is>
          <t>P(&gt;=100pts)</t>
        </is>
      </c>
      <c r="U1" s="1" t="inlineStr">
        <is>
          <t>P(&gt;=110pts)</t>
        </is>
      </c>
      <c r="V1" s="1" t="inlineStr">
        <is>
          <t>FairOdds Playoff (dec)</t>
        </is>
      </c>
      <c r="W1" s="1" t="inlineStr">
        <is>
          <t>FairOdds Cup (dec)</t>
        </is>
      </c>
      <c r="X1" s="1" t="inlineStr">
        <is>
          <t>FairOdds Cup (US)</t>
        </is>
      </c>
    </row>
    <row r="2">
      <c r="A2" t="n">
        <v>1</v>
      </c>
      <c r="B2" t="inlineStr">
        <is>
          <t>Carolina Hurricanes</t>
        </is>
      </c>
      <c r="C2" t="inlineStr">
        <is>
          <t>CAR</t>
        </is>
      </c>
      <c r="D2" t="inlineStr">
        <is>
          <t>East</t>
        </is>
      </c>
      <c r="E2" t="inlineStr">
        <is>
          <t>Metropolitan</t>
        </is>
      </c>
      <c r="F2" s="3" t="n">
        <v>1579.7</v>
      </c>
      <c r="G2" s="3" t="n">
        <v>112.0418</v>
      </c>
      <c r="H2" s="3" t="n">
        <v>10.69848113097607</v>
      </c>
      <c r="I2" s="3" t="n">
        <v>94</v>
      </c>
      <c r="J2" s="3" t="n">
        <v>105</v>
      </c>
      <c r="K2" s="3" t="n">
        <v>112</v>
      </c>
      <c r="L2" s="3" t="n">
        <v>119</v>
      </c>
      <c r="M2" s="3" t="n">
        <v>129</v>
      </c>
      <c r="N2" s="4" t="n">
        <v>0.9370000000000001</v>
      </c>
      <c r="O2" s="4" t="n">
        <v>0.6096</v>
      </c>
      <c r="P2" s="4" t="n">
        <v>0.2417</v>
      </c>
      <c r="Q2" s="4" t="n">
        <v>0.2941</v>
      </c>
      <c r="R2" s="4" t="n">
        <v>0.1856</v>
      </c>
      <c r="S2" s="4" t="n">
        <v>0.0007</v>
      </c>
      <c r="T2" s="4" t="n">
        <v>0.8789</v>
      </c>
      <c r="U2" s="4" t="n">
        <v>0.6047</v>
      </c>
      <c r="V2" t="n">
        <v>1.07</v>
      </c>
      <c r="W2" t="n">
        <v>5.39</v>
      </c>
      <c r="X2" t="inlineStr">
        <is>
          <t>+439</t>
        </is>
      </c>
    </row>
    <row r="3">
      <c r="A3" t="n">
        <v>2</v>
      </c>
      <c r="B3" t="inlineStr">
        <is>
          <t>Colorado Avalanche</t>
        </is>
      </c>
      <c r="C3" t="inlineStr">
        <is>
          <t>COL</t>
        </is>
      </c>
      <c r="D3" t="inlineStr">
        <is>
          <t>West</t>
        </is>
      </c>
      <c r="E3" t="inlineStr">
        <is>
          <t>Central</t>
        </is>
      </c>
      <c r="F3" s="3" t="n">
        <v>1575.1</v>
      </c>
      <c r="G3" s="3" t="n">
        <v>111.718</v>
      </c>
      <c r="H3" s="3" t="n">
        <v>10.73645207414042</v>
      </c>
      <c r="I3" s="3" t="n">
        <v>94</v>
      </c>
      <c r="J3" s="3" t="n">
        <v>105</v>
      </c>
      <c r="K3" s="3" t="n">
        <v>112</v>
      </c>
      <c r="L3" s="3" t="n">
        <v>119</v>
      </c>
      <c r="M3" s="3" t="n">
        <v>129</v>
      </c>
      <c r="N3" s="4" t="n">
        <v>0.9550999999999999</v>
      </c>
      <c r="O3" s="4" t="n">
        <v>0.5247000000000001</v>
      </c>
      <c r="P3" s="4" t="n">
        <v>0.2237</v>
      </c>
      <c r="Q3" s="4" t="n">
        <v>0.2867</v>
      </c>
      <c r="R3" s="4" t="n">
        <v>0.1701</v>
      </c>
      <c r="S3" s="4" t="n">
        <v>0.0008</v>
      </c>
      <c r="T3" s="4" t="n">
        <v>0.8703</v>
      </c>
      <c r="U3" s="4" t="n">
        <v>0.5959</v>
      </c>
      <c r="V3" t="n">
        <v>1.05</v>
      </c>
      <c r="W3" t="n">
        <v>5.88</v>
      </c>
      <c r="X3" t="inlineStr">
        <is>
          <t>+488</t>
        </is>
      </c>
    </row>
    <row r="4">
      <c r="A4" t="n">
        <v>3</v>
      </c>
      <c r="B4" t="inlineStr">
        <is>
          <t>Tampa Bay Lightning</t>
        </is>
      </c>
      <c r="C4" t="inlineStr">
        <is>
          <t>TBL</t>
        </is>
      </c>
      <c r="D4" t="inlineStr">
        <is>
          <t>East</t>
        </is>
      </c>
      <c r="E4" t="inlineStr">
        <is>
          <t>Atlantic</t>
        </is>
      </c>
      <c r="F4" s="3" t="n">
        <v>1551.3</v>
      </c>
      <c r="G4" s="3" t="n">
        <v>105.2247</v>
      </c>
      <c r="H4" s="3" t="n">
        <v>10.89144950303805</v>
      </c>
      <c r="I4" s="3" t="n">
        <v>87</v>
      </c>
      <c r="J4" s="3" t="n">
        <v>98</v>
      </c>
      <c r="K4" s="3" t="n">
        <v>105</v>
      </c>
      <c r="L4" s="3" t="n">
        <v>113</v>
      </c>
      <c r="M4" s="3" t="n">
        <v>123</v>
      </c>
      <c r="N4" s="4" t="n">
        <v>0.8211000000000001</v>
      </c>
      <c r="O4" s="4" t="n">
        <v>0.3353</v>
      </c>
      <c r="P4" s="4" t="n">
        <v>0.08840000000000001</v>
      </c>
      <c r="Q4" s="4" t="n">
        <v>0.1427</v>
      </c>
      <c r="R4" s="4" t="n">
        <v>0.0771</v>
      </c>
      <c r="S4" s="4" t="n">
        <v>0.0048</v>
      </c>
      <c r="T4" s="4" t="n">
        <v>0.7077</v>
      </c>
      <c r="U4" s="4" t="n">
        <v>0.3546</v>
      </c>
      <c r="V4" t="n">
        <v>1.22</v>
      </c>
      <c r="W4" t="n">
        <v>12.97</v>
      </c>
      <c r="X4" t="inlineStr">
        <is>
          <t>+1197</t>
        </is>
      </c>
    </row>
    <row r="5">
      <c r="A5" t="n">
        <v>4</v>
      </c>
      <c r="B5" t="inlineStr">
        <is>
          <t>Vegas Golden Knights</t>
        </is>
      </c>
      <c r="C5" t="inlineStr">
        <is>
          <t>VGK</t>
        </is>
      </c>
      <c r="D5" t="inlineStr">
        <is>
          <t>West</t>
        </is>
      </c>
      <c r="E5" t="inlineStr">
        <is>
          <t>Pacific</t>
        </is>
      </c>
      <c r="F5" s="3" t="n">
        <v>1540.4</v>
      </c>
      <c r="G5" s="3" t="n">
        <v>103.787</v>
      </c>
      <c r="H5" s="3" t="n">
        <v>11.08044713135996</v>
      </c>
      <c r="I5" s="3" t="n">
        <v>85</v>
      </c>
      <c r="J5" s="3" t="n">
        <v>96</v>
      </c>
      <c r="K5" s="3" t="n">
        <v>104</v>
      </c>
      <c r="L5" s="3" t="n">
        <v>111</v>
      </c>
      <c r="M5" s="3" t="n">
        <v>122</v>
      </c>
      <c r="N5" s="4" t="n">
        <v>0.8679</v>
      </c>
      <c r="O5" s="4" t="n">
        <v>0.4485</v>
      </c>
      <c r="P5" s="4" t="n">
        <v>0.07489999999999999</v>
      </c>
      <c r="Q5" s="4" t="n">
        <v>0.1552</v>
      </c>
      <c r="R5" s="4" t="n">
        <v>0.07580000000000001</v>
      </c>
      <c r="S5" s="4" t="n">
        <v>0.0053</v>
      </c>
      <c r="T5" s="4" t="n">
        <v>0.6538</v>
      </c>
      <c r="U5" s="4" t="n">
        <v>0.3065</v>
      </c>
      <c r="V5" t="n">
        <v>1.15</v>
      </c>
      <c r="W5" t="n">
        <v>13.19</v>
      </c>
      <c r="X5" t="inlineStr">
        <is>
          <t>+1219</t>
        </is>
      </c>
    </row>
    <row r="6">
      <c r="A6" t="n">
        <v>5</v>
      </c>
      <c r="B6" t="inlineStr">
        <is>
          <t>Dallas Stars</t>
        </is>
      </c>
      <c r="C6" t="inlineStr">
        <is>
          <t>DAL</t>
        </is>
      </c>
      <c r="D6" t="inlineStr">
        <is>
          <t>West</t>
        </is>
      </c>
      <c r="E6" t="inlineStr">
        <is>
          <t>Central</t>
        </is>
      </c>
      <c r="F6" s="3" t="n">
        <v>1537.6</v>
      </c>
      <c r="G6" s="3" t="n">
        <v>102.2671</v>
      </c>
      <c r="H6" s="3" t="n">
        <v>10.91259208697025</v>
      </c>
      <c r="I6" s="3" t="n">
        <v>84</v>
      </c>
      <c r="J6" s="3" t="n">
        <v>95</v>
      </c>
      <c r="K6" s="3" t="n">
        <v>103</v>
      </c>
      <c r="L6" s="3" t="n">
        <v>110</v>
      </c>
      <c r="M6" s="3" t="n">
        <v>120</v>
      </c>
      <c r="N6" s="4" t="n">
        <v>0.8145</v>
      </c>
      <c r="O6" s="4" t="n">
        <v>0.1692</v>
      </c>
      <c r="P6" s="4" t="n">
        <v>0.0521</v>
      </c>
      <c r="Q6" s="4" t="n">
        <v>0.1194</v>
      </c>
      <c r="R6" s="4" t="n">
        <v>0.0553</v>
      </c>
      <c r="S6" s="4" t="n">
        <v>0.008200000000000001</v>
      </c>
      <c r="T6" s="4" t="n">
        <v>0.6065</v>
      </c>
      <c r="U6" s="4" t="n">
        <v>0.2582</v>
      </c>
      <c r="V6" t="n">
        <v>1.23</v>
      </c>
      <c r="W6" t="n">
        <v>18.08</v>
      </c>
      <c r="X6" t="inlineStr">
        <is>
          <t>+1708</t>
        </is>
      </c>
    </row>
    <row r="7">
      <c r="A7" t="n">
        <v>6</v>
      </c>
      <c r="B7" t="inlineStr">
        <is>
          <t>Ottawa Senators</t>
        </is>
      </c>
      <c r="C7" t="inlineStr">
        <is>
          <t>OTT</t>
        </is>
      </c>
      <c r="D7" t="inlineStr">
        <is>
          <t>East</t>
        </is>
      </c>
      <c r="E7" t="inlineStr">
        <is>
          <t>Atlantic</t>
        </is>
      </c>
      <c r="F7" s="3" t="n">
        <v>1538.6</v>
      </c>
      <c r="G7" s="3" t="n">
        <v>101.9766</v>
      </c>
      <c r="H7" s="3" t="n">
        <v>11.10398047000389</v>
      </c>
      <c r="I7" s="3" t="n">
        <v>83</v>
      </c>
      <c r="J7" s="3" t="n">
        <v>95</v>
      </c>
      <c r="K7" s="3" t="n">
        <v>102</v>
      </c>
      <c r="L7" s="3" t="n">
        <v>110</v>
      </c>
      <c r="M7" s="3" t="n">
        <v>120</v>
      </c>
      <c r="N7" s="4" t="n">
        <v>0.7299</v>
      </c>
      <c r="O7" s="4" t="n">
        <v>0.2225</v>
      </c>
      <c r="P7" s="4" t="n">
        <v>0.0521</v>
      </c>
      <c r="Q7" s="4" t="n">
        <v>0.1066</v>
      </c>
      <c r="R7" s="4" t="n">
        <v>0.0525</v>
      </c>
      <c r="S7" s="4" t="n">
        <v>0.008699999999999999</v>
      </c>
      <c r="T7" s="4" t="n">
        <v>0.596</v>
      </c>
      <c r="U7" s="4" t="n">
        <v>0.2555</v>
      </c>
      <c r="V7" t="n">
        <v>1.37</v>
      </c>
      <c r="W7" t="n">
        <v>19.05</v>
      </c>
      <c r="X7" t="inlineStr">
        <is>
          <t>+1805</t>
        </is>
      </c>
    </row>
    <row r="8">
      <c r="A8" t="n">
        <v>7</v>
      </c>
      <c r="B8" t="inlineStr">
        <is>
          <t>Minnesota Wild</t>
        </is>
      </c>
      <c r="C8" t="inlineStr">
        <is>
          <t>MIN</t>
        </is>
      </c>
      <c r="D8" t="inlineStr">
        <is>
          <t>West</t>
        </is>
      </c>
      <c r="E8" t="inlineStr">
        <is>
          <t>Central</t>
        </is>
      </c>
      <c r="F8" s="3" t="n">
        <v>1531.6</v>
      </c>
      <c r="G8" s="3" t="n">
        <v>100.9333</v>
      </c>
      <c r="H8" s="3" t="n">
        <v>11.18898433491819</v>
      </c>
      <c r="I8" s="3" t="n">
        <v>82</v>
      </c>
      <c r="J8" s="3" t="n">
        <v>93</v>
      </c>
      <c r="K8" s="3" t="n">
        <v>101</v>
      </c>
      <c r="L8" s="3" t="n">
        <v>109</v>
      </c>
      <c r="M8" s="3" t="n">
        <v>119</v>
      </c>
      <c r="N8" s="4" t="n">
        <v>0.7695</v>
      </c>
      <c r="O8" s="4" t="n">
        <v>0.1464</v>
      </c>
      <c r="P8" s="4" t="n">
        <v>0.0452</v>
      </c>
      <c r="Q8" s="4" t="n">
        <v>0.105</v>
      </c>
      <c r="R8" s="4" t="n">
        <v>0.0474</v>
      </c>
      <c r="S8" s="4" t="n">
        <v>0.0133</v>
      </c>
      <c r="T8" s="4" t="n">
        <v>0.5569</v>
      </c>
      <c r="U8" s="4" t="n">
        <v>0.2231</v>
      </c>
      <c r="V8" t="n">
        <v>1.3</v>
      </c>
      <c r="W8" t="n">
        <v>21.1</v>
      </c>
      <c r="X8" t="inlineStr">
        <is>
          <t>+2010</t>
        </is>
      </c>
    </row>
    <row r="9">
      <c r="A9" t="n">
        <v>8</v>
      </c>
      <c r="B9" t="inlineStr">
        <is>
          <t>Buffalo Sabres</t>
        </is>
      </c>
      <c r="C9" t="inlineStr">
        <is>
          <t>BUF</t>
        </is>
      </c>
      <c r="D9" t="inlineStr">
        <is>
          <t>East</t>
        </is>
      </c>
      <c r="E9" t="inlineStr">
        <is>
          <t>Atlantic</t>
        </is>
      </c>
      <c r="F9" s="3" t="n">
        <v>1528.3</v>
      </c>
      <c r="G9" s="3" t="n">
        <v>99.1519</v>
      </c>
      <c r="H9" s="3" t="n">
        <v>11.31218913174171</v>
      </c>
      <c r="I9" s="3" t="n">
        <v>80</v>
      </c>
      <c r="J9" s="3" t="n">
        <v>91</v>
      </c>
      <c r="K9" s="3" t="n">
        <v>99</v>
      </c>
      <c r="L9" s="3" t="n">
        <v>107</v>
      </c>
      <c r="M9" s="3" t="n">
        <v>118</v>
      </c>
      <c r="N9" s="4" t="n">
        <v>0.6398</v>
      </c>
      <c r="O9" s="4" t="n">
        <v>0.1554</v>
      </c>
      <c r="P9" s="4" t="n">
        <v>0.0314</v>
      </c>
      <c r="Q9" s="4" t="n">
        <v>0.0771</v>
      </c>
      <c r="R9" s="4" t="n">
        <v>0.0379</v>
      </c>
      <c r="S9" s="4" t="n">
        <v>0.017</v>
      </c>
      <c r="T9" s="4" t="n">
        <v>0.491</v>
      </c>
      <c r="U9" s="4" t="n">
        <v>0.1844</v>
      </c>
      <c r="V9" t="n">
        <v>1.56</v>
      </c>
      <c r="W9" t="n">
        <v>26.39</v>
      </c>
      <c r="X9" t="inlineStr">
        <is>
          <t>+2539</t>
        </is>
      </c>
    </row>
    <row r="10">
      <c r="A10" t="n">
        <v>9</v>
      </c>
      <c r="B10" t="inlineStr">
        <is>
          <t>Edmonton Oilers</t>
        </is>
      </c>
      <c r="C10" t="inlineStr">
        <is>
          <t>EDM</t>
        </is>
      </c>
      <c r="D10" t="inlineStr">
        <is>
          <t>West</t>
        </is>
      </c>
      <c r="E10" t="inlineStr">
        <is>
          <t>Pacific</t>
        </is>
      </c>
      <c r="F10" s="3" t="n">
        <v>1519.3</v>
      </c>
      <c r="G10" s="3" t="n">
        <v>98.31189999999999</v>
      </c>
      <c r="H10" s="3" t="n">
        <v>11.16039756627799</v>
      </c>
      <c r="I10" s="3" t="n">
        <v>80</v>
      </c>
      <c r="J10" s="3" t="n">
        <v>91</v>
      </c>
      <c r="K10" s="3" t="n">
        <v>98</v>
      </c>
      <c r="L10" s="3" t="n">
        <v>106</v>
      </c>
      <c r="M10" s="3" t="n">
        <v>116</v>
      </c>
      <c r="N10" s="4" t="n">
        <v>0.7349</v>
      </c>
      <c r="O10" s="4" t="n">
        <v>0.2395</v>
      </c>
      <c r="P10" s="4" t="n">
        <v>0.0257</v>
      </c>
      <c r="Q10" s="4" t="n">
        <v>0.0861</v>
      </c>
      <c r="R10" s="4" t="n">
        <v>0.0368</v>
      </c>
      <c r="S10" s="4" t="n">
        <v>0.0212</v>
      </c>
      <c r="T10" s="4" t="n">
        <v>0.465</v>
      </c>
      <c r="U10" s="4" t="n">
        <v>0.1607</v>
      </c>
      <c r="V10" t="n">
        <v>1.36</v>
      </c>
      <c r="W10" t="n">
        <v>27.17</v>
      </c>
      <c r="X10" t="inlineStr">
        <is>
          <t>+2617</t>
        </is>
      </c>
    </row>
    <row r="11">
      <c r="A11" t="n">
        <v>10</v>
      </c>
      <c r="B11" t="inlineStr">
        <is>
          <t>Montreal Canadiens</t>
        </is>
      </c>
      <c r="C11" t="inlineStr">
        <is>
          <t>MTL</t>
        </is>
      </c>
      <c r="D11" t="inlineStr">
        <is>
          <t>East</t>
        </is>
      </c>
      <c r="E11" t="inlineStr">
        <is>
          <t>Atlantic</t>
        </is>
      </c>
      <c r="F11" s="3" t="n">
        <v>1519.6</v>
      </c>
      <c r="G11" s="3" t="n">
        <v>96.97190000000001</v>
      </c>
      <c r="H11" s="3" t="n">
        <v>11.09238542836703</v>
      </c>
      <c r="I11" s="3" t="n">
        <v>78</v>
      </c>
      <c r="J11" s="3" t="n">
        <v>90</v>
      </c>
      <c r="K11" s="3" t="n">
        <v>97</v>
      </c>
      <c r="L11" s="3" t="n">
        <v>105</v>
      </c>
      <c r="M11" s="3" t="n">
        <v>115</v>
      </c>
      <c r="N11" s="4" t="n">
        <v>0.5659</v>
      </c>
      <c r="O11" s="4" t="n">
        <v>0.1061</v>
      </c>
      <c r="P11" s="4" t="n">
        <v>0.0192</v>
      </c>
      <c r="Q11" s="4" t="n">
        <v>0.0583</v>
      </c>
      <c r="R11" s="4" t="n">
        <v>0.029</v>
      </c>
      <c r="S11" s="4" t="n">
        <v>0.0257</v>
      </c>
      <c r="T11" s="4" t="n">
        <v>0.4131</v>
      </c>
      <c r="U11" s="4" t="n">
        <v>0.1282</v>
      </c>
      <c r="V11" t="n">
        <v>1.77</v>
      </c>
      <c r="W11" t="n">
        <v>34.48</v>
      </c>
      <c r="X11" t="inlineStr">
        <is>
          <t>+3348</t>
        </is>
      </c>
    </row>
    <row r="12">
      <c r="A12" t="n">
        <v>11</v>
      </c>
      <c r="B12" t="inlineStr">
        <is>
          <t>Washington Capitals</t>
        </is>
      </c>
      <c r="C12" t="inlineStr">
        <is>
          <t>WSH</t>
        </is>
      </c>
      <c r="D12" t="inlineStr">
        <is>
          <t>East</t>
        </is>
      </c>
      <c r="E12" t="inlineStr">
        <is>
          <t>Metropolitan</t>
        </is>
      </c>
      <c r="F12" s="3" t="n">
        <v>1519.9</v>
      </c>
      <c r="G12" s="3" t="n">
        <v>96.9623</v>
      </c>
      <c r="H12" s="3" t="n">
        <v>11.22014562636277</v>
      </c>
      <c r="I12" s="3" t="n">
        <v>78</v>
      </c>
      <c r="J12" s="3" t="n">
        <v>90</v>
      </c>
      <c r="K12" s="3" t="n">
        <v>97</v>
      </c>
      <c r="L12" s="3" t="n">
        <v>105</v>
      </c>
      <c r="M12" s="3" t="n">
        <v>115</v>
      </c>
      <c r="N12" s="4" t="n">
        <v>0.5776</v>
      </c>
      <c r="O12" s="4" t="n">
        <v>0.095</v>
      </c>
      <c r="P12" s="4" t="n">
        <v>0.0188</v>
      </c>
      <c r="Q12" s="4" t="n">
        <v>0.0519</v>
      </c>
      <c r="R12" s="4" t="n">
        <v>0.025</v>
      </c>
      <c r="S12" s="4" t="n">
        <v>0.0306</v>
      </c>
      <c r="T12" s="4" t="n">
        <v>0.4155</v>
      </c>
      <c r="U12" s="4" t="n">
        <v>0.1327</v>
      </c>
      <c r="V12" t="n">
        <v>1.73</v>
      </c>
      <c r="W12" t="n">
        <v>40</v>
      </c>
      <c r="X12" t="inlineStr">
        <is>
          <t>+3900</t>
        </is>
      </c>
    </row>
    <row r="13">
      <c r="A13" t="n">
        <v>12</v>
      </c>
      <c r="B13" t="inlineStr">
        <is>
          <t>Utah Mammoth</t>
        </is>
      </c>
      <c r="C13" t="inlineStr">
        <is>
          <t>UTA</t>
        </is>
      </c>
      <c r="D13" t="inlineStr">
        <is>
          <t>West</t>
        </is>
      </c>
      <c r="E13" t="inlineStr">
        <is>
          <t>Central</t>
        </is>
      </c>
      <c r="F13" s="3" t="n">
        <v>1510.4</v>
      </c>
      <c r="G13" s="3" t="n">
        <v>95.5258</v>
      </c>
      <c r="H13" s="3" t="n">
        <v>11.2115790284166</v>
      </c>
      <c r="I13" s="3" t="n">
        <v>77</v>
      </c>
      <c r="J13" s="3" t="n">
        <v>88</v>
      </c>
      <c r="K13" s="3" t="n">
        <v>96</v>
      </c>
      <c r="L13" s="3" t="n">
        <v>103</v>
      </c>
      <c r="M13" s="3" t="n">
        <v>114</v>
      </c>
      <c r="N13" s="4" t="n">
        <v>0.6052999999999999</v>
      </c>
      <c r="O13" s="4" t="n">
        <v>0.0673</v>
      </c>
      <c r="P13" s="4" t="n">
        <v>0.0149</v>
      </c>
      <c r="Q13" s="4" t="n">
        <v>0.0535</v>
      </c>
      <c r="R13" s="4" t="n">
        <v>0.0229</v>
      </c>
      <c r="S13" s="4" t="n">
        <v>0.0361</v>
      </c>
      <c r="T13" s="4" t="n">
        <v>0.3586</v>
      </c>
      <c r="U13" s="4" t="n">
        <v>0.1081</v>
      </c>
      <c r="V13" t="n">
        <v>1.65</v>
      </c>
      <c r="W13" t="n">
        <v>43.67</v>
      </c>
      <c r="X13" t="inlineStr">
        <is>
          <t>+4267</t>
        </is>
      </c>
    </row>
    <row r="14">
      <c r="A14" t="n">
        <v>13</v>
      </c>
      <c r="B14" t="inlineStr">
        <is>
          <t>Pittsburgh Penguins</t>
        </is>
      </c>
      <c r="C14" t="inlineStr">
        <is>
          <t>PIT</t>
        </is>
      </c>
      <c r="D14" t="inlineStr">
        <is>
          <t>East</t>
        </is>
      </c>
      <c r="E14" t="inlineStr">
        <is>
          <t>Metropolitan</t>
        </is>
      </c>
      <c r="F14" s="3" t="n">
        <v>1510.3</v>
      </c>
      <c r="G14" s="3" t="n">
        <v>94.6371</v>
      </c>
      <c r="H14" s="3" t="n">
        <v>11.29176487469512</v>
      </c>
      <c r="I14" s="3" t="n">
        <v>76</v>
      </c>
      <c r="J14" s="3" t="n">
        <v>87</v>
      </c>
      <c r="K14" s="3" t="n">
        <v>95</v>
      </c>
      <c r="L14" s="3" t="n">
        <v>102</v>
      </c>
      <c r="M14" s="3" t="n">
        <v>113</v>
      </c>
      <c r="N14" s="4" t="n">
        <v>0.4868</v>
      </c>
      <c r="O14" s="4" t="n">
        <v>0.0706</v>
      </c>
      <c r="P14" s="4" t="n">
        <v>0.0136</v>
      </c>
      <c r="Q14" s="4" t="n">
        <v>0.0416</v>
      </c>
      <c r="R14" s="4" t="n">
        <v>0.0181</v>
      </c>
      <c r="S14" s="4" t="n">
        <v>0.0413</v>
      </c>
      <c r="T14" s="4" t="n">
        <v>0.3327</v>
      </c>
      <c r="U14" s="4" t="n">
        <v>0.0961</v>
      </c>
      <c r="V14" t="n">
        <v>2.05</v>
      </c>
      <c r="W14" t="n">
        <v>55.25</v>
      </c>
      <c r="X14" t="inlineStr">
        <is>
          <t>+5425</t>
        </is>
      </c>
    </row>
    <row r="15">
      <c r="A15" t="n">
        <v>14</v>
      </c>
      <c r="B15" t="inlineStr">
        <is>
          <t>Florida Panthers</t>
        </is>
      </c>
      <c r="C15" t="inlineStr">
        <is>
          <t>FLA</t>
        </is>
      </c>
      <c r="D15" t="inlineStr">
        <is>
          <t>East</t>
        </is>
      </c>
      <c r="E15" t="inlineStr">
        <is>
          <t>Atlantic</t>
        </is>
      </c>
      <c r="F15" s="3" t="n">
        <v>1509.7</v>
      </c>
      <c r="G15" s="3" t="n">
        <v>94.2376</v>
      </c>
      <c r="H15" s="3" t="n">
        <v>11.22633285160072</v>
      </c>
      <c r="I15" s="3" t="n">
        <v>76</v>
      </c>
      <c r="J15" s="3" t="n">
        <v>87</v>
      </c>
      <c r="K15" s="3" t="n">
        <v>94</v>
      </c>
      <c r="L15" s="3" t="n">
        <v>102</v>
      </c>
      <c r="M15" s="3" t="n">
        <v>113</v>
      </c>
      <c r="N15" s="4" t="n">
        <v>0.4684</v>
      </c>
      <c r="O15" s="4" t="n">
        <v>0.07480000000000001</v>
      </c>
      <c r="P15" s="4" t="n">
        <v>0.0119</v>
      </c>
      <c r="Q15" s="4" t="n">
        <v>0.039</v>
      </c>
      <c r="R15" s="4" t="n">
        <v>0.0171</v>
      </c>
      <c r="S15" s="4" t="n">
        <v>0.0457</v>
      </c>
      <c r="T15" s="4" t="n">
        <v>0.3205</v>
      </c>
      <c r="U15" s="4" t="n">
        <v>0.08740000000000001</v>
      </c>
      <c r="V15" t="n">
        <v>2.13</v>
      </c>
      <c r="W15" t="n">
        <v>58.48</v>
      </c>
      <c r="X15" t="inlineStr">
        <is>
          <t>+5748</t>
        </is>
      </c>
    </row>
    <row r="16">
      <c r="A16" t="n">
        <v>15</v>
      </c>
      <c r="B16" t="inlineStr">
        <is>
          <t>Philadelphia Flyers</t>
        </is>
      </c>
      <c r="C16" t="inlineStr">
        <is>
          <t>PHI</t>
        </is>
      </c>
      <c r="D16" t="inlineStr">
        <is>
          <t>East</t>
        </is>
      </c>
      <c r="E16" t="inlineStr">
        <is>
          <t>Metropolitan</t>
        </is>
      </c>
      <c r="F16" s="3" t="n">
        <v>1506.2</v>
      </c>
      <c r="G16" s="3" t="n">
        <v>93.55200000000001</v>
      </c>
      <c r="H16" s="3" t="n">
        <v>11.270971541085</v>
      </c>
      <c r="I16" s="3" t="n">
        <v>75</v>
      </c>
      <c r="J16" s="3" t="n">
        <v>86</v>
      </c>
      <c r="K16" s="3" t="n">
        <v>94</v>
      </c>
      <c r="L16" s="3" t="n">
        <v>101</v>
      </c>
      <c r="M16" s="3" t="n">
        <v>112</v>
      </c>
      <c r="N16" s="4" t="n">
        <v>0.4537</v>
      </c>
      <c r="O16" s="4" t="n">
        <v>0.06</v>
      </c>
      <c r="P16" s="4" t="n">
        <v>0.0111</v>
      </c>
      <c r="Q16" s="4" t="n">
        <v>0.0377</v>
      </c>
      <c r="R16" s="4" t="n">
        <v>0.0159</v>
      </c>
      <c r="S16" s="4" t="n">
        <v>0.0515</v>
      </c>
      <c r="T16" s="4" t="n">
        <v>0.3031</v>
      </c>
      <c r="U16" s="4" t="n">
        <v>0.0775</v>
      </c>
      <c r="V16" t="n">
        <v>2.2</v>
      </c>
      <c r="W16" t="n">
        <v>62.89</v>
      </c>
      <c r="X16" t="inlineStr">
        <is>
          <t>+6189</t>
        </is>
      </c>
    </row>
    <row r="17">
      <c r="A17" t="n">
        <v>16</v>
      </c>
      <c r="B17" t="inlineStr">
        <is>
          <t>Columbus Blue Jackets</t>
        </is>
      </c>
      <c r="C17" t="inlineStr">
        <is>
          <t>CBJ</t>
        </is>
      </c>
      <c r="D17" t="inlineStr">
        <is>
          <t>East</t>
        </is>
      </c>
      <c r="E17" t="inlineStr">
        <is>
          <t>Metropolitan</t>
        </is>
      </c>
      <c r="F17" s="3" t="n">
        <v>1505.3</v>
      </c>
      <c r="G17" s="3" t="n">
        <v>93.3212</v>
      </c>
      <c r="H17" s="3" t="n">
        <v>11.473142283585</v>
      </c>
      <c r="I17" s="3" t="n">
        <v>74</v>
      </c>
      <c r="J17" s="3" t="n">
        <v>86</v>
      </c>
      <c r="K17" s="3" t="n">
        <v>93</v>
      </c>
      <c r="L17" s="3" t="n">
        <v>101</v>
      </c>
      <c r="M17" s="3" t="n">
        <v>112</v>
      </c>
      <c r="N17" s="4" t="n">
        <v>0.4494</v>
      </c>
      <c r="O17" s="4" t="n">
        <v>0.062</v>
      </c>
      <c r="P17" s="4" t="n">
        <v>0.009599999999999999</v>
      </c>
      <c r="Q17" s="4" t="n">
        <v>0.0348</v>
      </c>
      <c r="R17" s="4" t="n">
        <v>0.0162</v>
      </c>
      <c r="S17" s="4" t="n">
        <v>0.0564</v>
      </c>
      <c r="T17" s="4" t="n">
        <v>0.3006</v>
      </c>
      <c r="U17" s="4" t="n">
        <v>0.0809</v>
      </c>
      <c r="V17" t="n">
        <v>2.23</v>
      </c>
      <c r="W17" t="n">
        <v>61.73</v>
      </c>
      <c r="X17" t="inlineStr">
        <is>
          <t>+6073</t>
        </is>
      </c>
    </row>
    <row r="18">
      <c r="A18" t="n">
        <v>17</v>
      </c>
      <c r="B18" t="inlineStr">
        <is>
          <t>Los Angeles Kings</t>
        </is>
      </c>
      <c r="C18" t="inlineStr">
        <is>
          <t>LAK</t>
        </is>
      </c>
      <c r="D18" t="inlineStr">
        <is>
          <t>West</t>
        </is>
      </c>
      <c r="E18" t="inlineStr">
        <is>
          <t>Pacific</t>
        </is>
      </c>
      <c r="F18" s="3" t="n">
        <v>1496.9</v>
      </c>
      <c r="G18" s="3" t="n">
        <v>92.4341</v>
      </c>
      <c r="H18" s="3" t="n">
        <v>11.25586632128617</v>
      </c>
      <c r="I18" s="3" t="n">
        <v>74</v>
      </c>
      <c r="J18" s="3" t="n">
        <v>85</v>
      </c>
      <c r="K18" s="3" t="n">
        <v>93</v>
      </c>
      <c r="L18" s="3" t="n">
        <v>100</v>
      </c>
      <c r="M18" s="3" t="n">
        <v>111</v>
      </c>
      <c r="N18" s="4" t="n">
        <v>0.541</v>
      </c>
      <c r="O18" s="4" t="n">
        <v>0.1099</v>
      </c>
      <c r="P18" s="4" t="n">
        <v>0.0091</v>
      </c>
      <c r="Q18" s="4" t="n">
        <v>0.0402</v>
      </c>
      <c r="R18" s="4" t="n">
        <v>0.0148</v>
      </c>
      <c r="S18" s="4" t="n">
        <v>0.0635</v>
      </c>
      <c r="T18" s="4" t="n">
        <v>0.2636</v>
      </c>
      <c r="U18" s="4" t="n">
        <v>0.0631</v>
      </c>
      <c r="V18" t="n">
        <v>1.85</v>
      </c>
      <c r="W18" t="n">
        <v>67.56999999999999</v>
      </c>
      <c r="X18" t="inlineStr">
        <is>
          <t>+6657</t>
        </is>
      </c>
    </row>
    <row r="19">
      <c r="A19" t="n">
        <v>18</v>
      </c>
      <c r="B19" t="inlineStr">
        <is>
          <t>New Jersey Devils</t>
        </is>
      </c>
      <c r="C19" t="inlineStr">
        <is>
          <t>NJD</t>
        </is>
      </c>
      <c r="D19" t="inlineStr">
        <is>
          <t>East</t>
        </is>
      </c>
      <c r="E19" t="inlineStr">
        <is>
          <t>Metropolitan</t>
        </is>
      </c>
      <c r="F19" s="3" t="n">
        <v>1502</v>
      </c>
      <c r="G19" s="3" t="n">
        <v>92.29859999999999</v>
      </c>
      <c r="H19" s="3" t="n">
        <v>11.31455876134798</v>
      </c>
      <c r="I19" s="3" t="n">
        <v>74</v>
      </c>
      <c r="J19" s="3" t="n">
        <v>85</v>
      </c>
      <c r="K19" s="3" t="n">
        <v>92</v>
      </c>
      <c r="L19" s="3" t="n">
        <v>100</v>
      </c>
      <c r="M19" s="3" t="n">
        <v>111</v>
      </c>
      <c r="N19" s="4" t="n">
        <v>0.4067</v>
      </c>
      <c r="O19" s="4" t="n">
        <v>0.0508</v>
      </c>
      <c r="P19" s="4" t="n">
        <v>0.0089</v>
      </c>
      <c r="Q19" s="4" t="n">
        <v>0.0292</v>
      </c>
      <c r="R19" s="4" t="n">
        <v>0.0136</v>
      </c>
      <c r="S19" s="4" t="n">
        <v>0.0643</v>
      </c>
      <c r="T19" s="4" t="n">
        <v>0.2637</v>
      </c>
      <c r="U19" s="4" t="n">
        <v>0.06320000000000001</v>
      </c>
      <c r="V19" t="n">
        <v>2.46</v>
      </c>
      <c r="W19" t="n">
        <v>73.53</v>
      </c>
      <c r="X19" t="inlineStr">
        <is>
          <t>+7253</t>
        </is>
      </c>
    </row>
    <row r="20">
      <c r="A20" t="n">
        <v>19</v>
      </c>
      <c r="B20" t="inlineStr">
        <is>
          <t>Anaheim Ducks</t>
        </is>
      </c>
      <c r="C20" t="inlineStr">
        <is>
          <t>ANA</t>
        </is>
      </c>
      <c r="D20" t="inlineStr">
        <is>
          <t>West</t>
        </is>
      </c>
      <c r="E20" t="inlineStr">
        <is>
          <t>Pacific</t>
        </is>
      </c>
      <c r="F20" s="3" t="n">
        <v>1493.1</v>
      </c>
      <c r="G20" s="3" t="n">
        <v>91.59910000000001</v>
      </c>
      <c r="H20" s="3" t="n">
        <v>11.38975644362883</v>
      </c>
      <c r="I20" s="3" t="n">
        <v>73</v>
      </c>
      <c r="J20" s="3" t="n">
        <v>84</v>
      </c>
      <c r="K20" s="3" t="n">
        <v>92</v>
      </c>
      <c r="L20" s="3" t="n">
        <v>99</v>
      </c>
      <c r="M20" s="3" t="n">
        <v>110</v>
      </c>
      <c r="N20" s="4" t="n">
        <v>0.5111</v>
      </c>
      <c r="O20" s="4" t="n">
        <v>0.1011</v>
      </c>
      <c r="P20" s="4" t="n">
        <v>0.0065</v>
      </c>
      <c r="Q20" s="4" t="n">
        <v>0.0347</v>
      </c>
      <c r="R20" s="4" t="n">
        <v>0.0121</v>
      </c>
      <c r="S20" s="4" t="n">
        <v>0.0747</v>
      </c>
      <c r="T20" s="4" t="n">
        <v>0.2485</v>
      </c>
      <c r="U20" s="4" t="n">
        <v>0.0548</v>
      </c>
      <c r="V20" t="n">
        <v>1.96</v>
      </c>
      <c r="W20" t="n">
        <v>82.64</v>
      </c>
      <c r="X20" t="inlineStr">
        <is>
          <t>+8164</t>
        </is>
      </c>
    </row>
    <row r="21">
      <c r="A21" t="n">
        <v>20</v>
      </c>
      <c r="B21" t="inlineStr">
        <is>
          <t>St. Louis Blues</t>
        </is>
      </c>
      <c r="C21" t="inlineStr">
        <is>
          <t>STL</t>
        </is>
      </c>
      <c r="D21" t="inlineStr">
        <is>
          <t>West</t>
        </is>
      </c>
      <c r="E21" t="inlineStr">
        <is>
          <t>Central</t>
        </is>
      </c>
      <c r="F21" s="3" t="n">
        <v>1495.7</v>
      </c>
      <c r="G21" s="3" t="n">
        <v>91.4777</v>
      </c>
      <c r="H21" s="3" t="n">
        <v>11.49003502172557</v>
      </c>
      <c r="I21" s="3" t="n">
        <v>73</v>
      </c>
      <c r="J21" s="3" t="n">
        <v>84</v>
      </c>
      <c r="K21" s="3" t="n">
        <v>92</v>
      </c>
      <c r="L21" s="3" t="n">
        <v>99</v>
      </c>
      <c r="M21" s="3" t="n">
        <v>110</v>
      </c>
      <c r="N21" s="4" t="n">
        <v>0.4559</v>
      </c>
      <c r="O21" s="4" t="n">
        <v>0.037</v>
      </c>
      <c r="P21" s="4" t="n">
        <v>0.0083</v>
      </c>
      <c r="Q21" s="4" t="n">
        <v>0.0325</v>
      </c>
      <c r="R21" s="4" t="n">
        <v>0.0123</v>
      </c>
      <c r="S21" s="4" t="n">
        <v>0.0747</v>
      </c>
      <c r="T21" s="4" t="n">
        <v>0.2435</v>
      </c>
      <c r="U21" s="4" t="n">
        <v>0.06</v>
      </c>
      <c r="V21" t="n">
        <v>2.19</v>
      </c>
      <c r="W21" t="n">
        <v>81.3</v>
      </c>
      <c r="X21" t="inlineStr">
        <is>
          <t>+8030</t>
        </is>
      </c>
    </row>
    <row r="22">
      <c r="A22" t="n">
        <v>21</v>
      </c>
      <c r="B22" t="inlineStr">
        <is>
          <t>Detroit Red Wings</t>
        </is>
      </c>
      <c r="C22" t="inlineStr">
        <is>
          <t>DET</t>
        </is>
      </c>
      <c r="D22" t="inlineStr">
        <is>
          <t>East</t>
        </is>
      </c>
      <c r="E22" t="inlineStr">
        <is>
          <t>Atlantic</t>
        </is>
      </c>
      <c r="F22" s="3" t="n">
        <v>1498.1</v>
      </c>
      <c r="G22" s="3" t="n">
        <v>91.3753</v>
      </c>
      <c r="H22" s="3" t="n">
        <v>11.42237702843405</v>
      </c>
      <c r="I22" s="3" t="n">
        <v>73</v>
      </c>
      <c r="J22" s="3" t="n">
        <v>84</v>
      </c>
      <c r="K22" s="3" t="n">
        <v>92</v>
      </c>
      <c r="L22" s="3" t="n">
        <v>99</v>
      </c>
      <c r="M22" s="3" t="n">
        <v>110</v>
      </c>
      <c r="N22" s="4" t="n">
        <v>0.3746</v>
      </c>
      <c r="O22" s="4" t="n">
        <v>0.0463</v>
      </c>
      <c r="P22" s="4" t="n">
        <v>0.0058</v>
      </c>
      <c r="Q22" s="4" t="n">
        <v>0.0256</v>
      </c>
      <c r="R22" s="4" t="n">
        <v>0.0116</v>
      </c>
      <c r="S22" s="4" t="n">
        <v>0.07580000000000001</v>
      </c>
      <c r="T22" s="4" t="n">
        <v>0.2439</v>
      </c>
      <c r="U22" s="4" t="n">
        <v>0.0536</v>
      </c>
      <c r="V22" t="n">
        <v>2.67</v>
      </c>
      <c r="W22" t="n">
        <v>86.20999999999999</v>
      </c>
      <c r="X22" t="inlineStr">
        <is>
          <t>+8521</t>
        </is>
      </c>
    </row>
    <row r="23">
      <c r="A23" t="n">
        <v>22</v>
      </c>
      <c r="B23" t="inlineStr">
        <is>
          <t>Boston Bruins</t>
        </is>
      </c>
      <c r="C23" t="inlineStr">
        <is>
          <t>BOS</t>
        </is>
      </c>
      <c r="D23" t="inlineStr">
        <is>
          <t>East</t>
        </is>
      </c>
      <c r="E23" t="inlineStr">
        <is>
          <t>Atlantic</t>
        </is>
      </c>
      <c r="F23" s="3" t="n">
        <v>1497.9</v>
      </c>
      <c r="G23" s="3" t="n">
        <v>91.2783</v>
      </c>
      <c r="H23" s="3" t="n">
        <v>11.3281279017398</v>
      </c>
      <c r="I23" s="3" t="n">
        <v>72</v>
      </c>
      <c r="J23" s="3" t="n">
        <v>84</v>
      </c>
      <c r="K23" s="3" t="n">
        <v>91</v>
      </c>
      <c r="L23" s="3" t="n">
        <v>99</v>
      </c>
      <c r="M23" s="3" t="n">
        <v>110</v>
      </c>
      <c r="N23" s="4" t="n">
        <v>0.3619</v>
      </c>
      <c r="O23" s="4" t="n">
        <v>0.0482</v>
      </c>
      <c r="P23" s="4" t="n">
        <v>0.0062</v>
      </c>
      <c r="Q23" s="4" t="n">
        <v>0.0245</v>
      </c>
      <c r="R23" s="4" t="n">
        <v>0.0113</v>
      </c>
      <c r="S23" s="4" t="n">
        <v>0.07539999999999999</v>
      </c>
      <c r="T23" s="4" t="n">
        <v>0.2373</v>
      </c>
      <c r="U23" s="4" t="n">
        <v>0.0534</v>
      </c>
      <c r="V23" t="n">
        <v>2.76</v>
      </c>
      <c r="W23" t="n">
        <v>88.5</v>
      </c>
      <c r="X23" t="inlineStr">
        <is>
          <t>+8750</t>
        </is>
      </c>
    </row>
    <row r="24">
      <c r="A24" t="n">
        <v>23</v>
      </c>
      <c r="B24" t="inlineStr">
        <is>
          <t>Winnipeg Jets</t>
        </is>
      </c>
      <c r="C24" t="inlineStr">
        <is>
          <t>WPG</t>
        </is>
      </c>
      <c r="D24" t="inlineStr">
        <is>
          <t>West</t>
        </is>
      </c>
      <c r="E24" t="inlineStr">
        <is>
          <t>Central</t>
        </is>
      </c>
      <c r="F24" s="3" t="n">
        <v>1493.1</v>
      </c>
      <c r="G24" s="3" t="n">
        <v>91.0348</v>
      </c>
      <c r="H24" s="3" t="n">
        <v>11.32772795851269</v>
      </c>
      <c r="I24" s="3" t="n">
        <v>72</v>
      </c>
      <c r="J24" s="3" t="n">
        <v>83</v>
      </c>
      <c r="K24" s="3" t="n">
        <v>91</v>
      </c>
      <c r="L24" s="3" t="n">
        <v>99</v>
      </c>
      <c r="M24" s="3" t="n">
        <v>110</v>
      </c>
      <c r="N24" s="4" t="n">
        <v>0.4377</v>
      </c>
      <c r="O24" s="4" t="n">
        <v>0.0334</v>
      </c>
      <c r="P24" s="4" t="n">
        <v>0.0059</v>
      </c>
      <c r="Q24" s="4" t="n">
        <v>0.0281</v>
      </c>
      <c r="R24" s="4" t="n">
        <v>0.01</v>
      </c>
      <c r="S24" s="4" t="n">
        <v>0.0776</v>
      </c>
      <c r="T24" s="4" t="n">
        <v>0.2295</v>
      </c>
      <c r="U24" s="4" t="n">
        <v>0.0524</v>
      </c>
      <c r="V24" t="n">
        <v>2.28</v>
      </c>
      <c r="W24" t="n">
        <v>100</v>
      </c>
      <c r="X24" t="inlineStr">
        <is>
          <t>+9900</t>
        </is>
      </c>
    </row>
    <row r="25">
      <c r="A25" t="n">
        <v>24</v>
      </c>
      <c r="B25" t="inlineStr">
        <is>
          <t>New York Islanders</t>
        </is>
      </c>
      <c r="C25" t="inlineStr">
        <is>
          <t>NYI</t>
        </is>
      </c>
      <c r="D25" t="inlineStr">
        <is>
          <t>East</t>
        </is>
      </c>
      <c r="E25" t="inlineStr">
        <is>
          <t>Metropolitan</t>
        </is>
      </c>
      <c r="F25" s="3" t="n">
        <v>1487.5</v>
      </c>
      <c r="G25" s="3" t="n">
        <v>88.73269999999999</v>
      </c>
      <c r="H25" s="3" t="n">
        <v>11.34153930299482</v>
      </c>
      <c r="I25" s="3" t="n">
        <v>70</v>
      </c>
      <c r="J25" s="3" t="n">
        <v>81</v>
      </c>
      <c r="K25" s="3" t="n">
        <v>89</v>
      </c>
      <c r="L25" s="3" t="n">
        <v>97</v>
      </c>
      <c r="M25" s="3" t="n">
        <v>107</v>
      </c>
      <c r="N25" s="4" t="n">
        <v>0.2922</v>
      </c>
      <c r="O25" s="4" t="n">
        <v>0.0258</v>
      </c>
      <c r="P25" s="4" t="n">
        <v>0.0038</v>
      </c>
      <c r="Q25" s="4" t="n">
        <v>0.0144</v>
      </c>
      <c r="R25" s="4" t="n">
        <v>0.0053</v>
      </c>
      <c r="S25" s="4" t="n">
        <v>0.1126</v>
      </c>
      <c r="T25" s="4" t="n">
        <v>0.1753</v>
      </c>
      <c r="U25" s="4" t="n">
        <v>0.0314</v>
      </c>
      <c r="V25" t="n">
        <v>3.42</v>
      </c>
      <c r="W25" t="n">
        <v>188.68</v>
      </c>
      <c r="X25" t="inlineStr">
        <is>
          <t>+18768</t>
        </is>
      </c>
    </row>
    <row r="26">
      <c r="A26" t="n">
        <v>25</v>
      </c>
      <c r="B26" t="inlineStr">
        <is>
          <t>Nashville Predators</t>
        </is>
      </c>
      <c r="C26" t="inlineStr">
        <is>
          <t>NSH</t>
        </is>
      </c>
      <c r="D26" t="inlineStr">
        <is>
          <t>West</t>
        </is>
      </c>
      <c r="E26" t="inlineStr">
        <is>
          <t>Central</t>
        </is>
      </c>
      <c r="F26" s="3" t="n">
        <v>1483.9</v>
      </c>
      <c r="G26" s="3" t="n">
        <v>88.4271</v>
      </c>
      <c r="H26" s="3" t="n">
        <v>11.38470231207973</v>
      </c>
      <c r="I26" s="3" t="n">
        <v>70</v>
      </c>
      <c r="J26" s="3" t="n">
        <v>81</v>
      </c>
      <c r="K26" s="3" t="n">
        <v>88</v>
      </c>
      <c r="L26" s="3" t="n">
        <v>96</v>
      </c>
      <c r="M26" s="3" t="n">
        <v>107</v>
      </c>
      <c r="N26" s="4" t="n">
        <v>0.3538</v>
      </c>
      <c r="O26" s="4" t="n">
        <v>0.0209</v>
      </c>
      <c r="P26" s="4" t="n">
        <v>0.0031</v>
      </c>
      <c r="Q26" s="4" t="n">
        <v>0.022</v>
      </c>
      <c r="R26" s="4" t="n">
        <v>0.0068</v>
      </c>
      <c r="S26" s="4" t="n">
        <v>0.1172</v>
      </c>
      <c r="T26" s="4" t="n">
        <v>0.1656</v>
      </c>
      <c r="U26" s="4" t="n">
        <v>0.0317</v>
      </c>
      <c r="V26" t="n">
        <v>2.83</v>
      </c>
      <c r="W26" t="n">
        <v>147.06</v>
      </c>
      <c r="X26" t="inlineStr">
        <is>
          <t>+14606</t>
        </is>
      </c>
    </row>
    <row r="27">
      <c r="A27" t="n">
        <v>26</v>
      </c>
      <c r="B27" t="inlineStr">
        <is>
          <t>New York Rangers</t>
        </is>
      </c>
      <c r="C27" t="inlineStr">
        <is>
          <t>NYR</t>
        </is>
      </c>
      <c r="D27" t="inlineStr">
        <is>
          <t>East</t>
        </is>
      </c>
      <c r="E27" t="inlineStr">
        <is>
          <t>Metropolitan</t>
        </is>
      </c>
      <c r="F27" s="3" t="n">
        <v>1486.2</v>
      </c>
      <c r="G27" s="3" t="n">
        <v>88.2236</v>
      </c>
      <c r="H27" s="3" t="n">
        <v>11.42713704241349</v>
      </c>
      <c r="I27" s="3" t="n">
        <v>69</v>
      </c>
      <c r="J27" s="3" t="n">
        <v>81</v>
      </c>
      <c r="K27" s="3" t="n">
        <v>88</v>
      </c>
      <c r="L27" s="3" t="n">
        <v>96</v>
      </c>
      <c r="M27" s="3" t="n">
        <v>107</v>
      </c>
      <c r="N27" s="4" t="n">
        <v>0.283</v>
      </c>
      <c r="O27" s="4" t="n">
        <v>0.0262</v>
      </c>
      <c r="P27" s="4" t="n">
        <v>0.0037</v>
      </c>
      <c r="Q27" s="4" t="n">
        <v>0.0163</v>
      </c>
      <c r="R27" s="4" t="n">
        <v>0.0062</v>
      </c>
      <c r="S27" s="4" t="n">
        <v>0.1235</v>
      </c>
      <c r="T27" s="4" t="n">
        <v>0.1648</v>
      </c>
      <c r="U27" s="4" t="n">
        <v>0.0284</v>
      </c>
      <c r="V27" t="n">
        <v>3.53</v>
      </c>
      <c r="W27" t="n">
        <v>161.29</v>
      </c>
      <c r="X27" t="inlineStr">
        <is>
          <t>+16029</t>
        </is>
      </c>
    </row>
    <row r="28">
      <c r="A28" t="n">
        <v>27</v>
      </c>
      <c r="B28" t="inlineStr">
        <is>
          <t>Calgary Flames</t>
        </is>
      </c>
      <c r="C28" t="inlineStr">
        <is>
          <t>CGY</t>
        </is>
      </c>
      <c r="D28" t="inlineStr">
        <is>
          <t>West</t>
        </is>
      </c>
      <c r="E28" t="inlineStr">
        <is>
          <t>Pacific</t>
        </is>
      </c>
      <c r="F28" s="3" t="n">
        <v>1469.9</v>
      </c>
      <c r="G28" s="3" t="n">
        <v>85.42319999999999</v>
      </c>
      <c r="H28" s="3" t="n">
        <v>11.44278792513214</v>
      </c>
      <c r="I28" s="3" t="n">
        <v>67</v>
      </c>
      <c r="J28" s="3" t="n">
        <v>78</v>
      </c>
      <c r="K28" s="3" t="n">
        <v>85</v>
      </c>
      <c r="L28" s="3" t="n">
        <v>93</v>
      </c>
      <c r="M28" s="3" t="n">
        <v>104</v>
      </c>
      <c r="N28" s="4" t="n">
        <v>0.297</v>
      </c>
      <c r="O28" s="4" t="n">
        <v>0.0398</v>
      </c>
      <c r="P28" s="4" t="n">
        <v>0.0016</v>
      </c>
      <c r="Q28" s="4" t="n">
        <v>0.0148</v>
      </c>
      <c r="R28" s="4" t="n">
        <v>0.0051</v>
      </c>
      <c r="S28" s="4" t="n">
        <v>0.181</v>
      </c>
      <c r="T28" s="4" t="n">
        <v>0.1094</v>
      </c>
      <c r="U28" s="4" t="n">
        <v>0.0179</v>
      </c>
      <c r="V28" t="n">
        <v>3.37</v>
      </c>
      <c r="W28" t="n">
        <v>196.08</v>
      </c>
      <c r="X28" t="inlineStr">
        <is>
          <t>+19508</t>
        </is>
      </c>
    </row>
    <row r="29">
      <c r="A29" t="n">
        <v>28</v>
      </c>
      <c r="B29" t="inlineStr">
        <is>
          <t>Seattle Kraken</t>
        </is>
      </c>
      <c r="C29" t="inlineStr">
        <is>
          <t>SEA</t>
        </is>
      </c>
      <c r="D29" t="inlineStr">
        <is>
          <t>West</t>
        </is>
      </c>
      <c r="E29" t="inlineStr">
        <is>
          <t>Pacific</t>
        </is>
      </c>
      <c r="F29" s="3" t="n">
        <v>1465.1</v>
      </c>
      <c r="G29" s="3" t="n">
        <v>84.4406</v>
      </c>
      <c r="H29" s="3" t="n">
        <v>11.37784765154281</v>
      </c>
      <c r="I29" s="3" t="n">
        <v>66</v>
      </c>
      <c r="J29" s="3" t="n">
        <v>77</v>
      </c>
      <c r="K29" s="3" t="n">
        <v>84</v>
      </c>
      <c r="L29" s="3" t="n">
        <v>92</v>
      </c>
      <c r="M29" s="3" t="n">
        <v>103</v>
      </c>
      <c r="N29" s="4" t="n">
        <v>0.2672</v>
      </c>
      <c r="O29" s="4" t="n">
        <v>0.0298</v>
      </c>
      <c r="P29" s="4" t="n">
        <v>0.0009</v>
      </c>
      <c r="Q29" s="4" t="n">
        <v>0.0109</v>
      </c>
      <c r="R29" s="4" t="n">
        <v>0.0032</v>
      </c>
      <c r="S29" s="4" t="n">
        <v>0.2021</v>
      </c>
      <c r="T29" s="4" t="n">
        <v>0.093</v>
      </c>
      <c r="U29" s="4" t="n">
        <v>0.0129</v>
      </c>
      <c r="V29" t="n">
        <v>3.74</v>
      </c>
      <c r="W29" t="n">
        <v>312.5</v>
      </c>
      <c r="X29" t="inlineStr">
        <is>
          <t>+31150</t>
        </is>
      </c>
    </row>
    <row r="30">
      <c r="A30" t="n">
        <v>29</v>
      </c>
      <c r="B30" t="inlineStr">
        <is>
          <t>Toronto Maple Leafs</t>
        </is>
      </c>
      <c r="C30" t="inlineStr">
        <is>
          <t>TOR</t>
        </is>
      </c>
      <c r="D30" t="inlineStr">
        <is>
          <t>East</t>
        </is>
      </c>
      <c r="E30" t="inlineStr">
        <is>
          <t>Atlantic</t>
        </is>
      </c>
      <c r="F30" s="3" t="n">
        <v>1469.1</v>
      </c>
      <c r="G30" s="3" t="n">
        <v>83.5962</v>
      </c>
      <c r="H30" s="3" t="n">
        <v>11.38914030169447</v>
      </c>
      <c r="I30" s="3" t="n">
        <v>65</v>
      </c>
      <c r="J30" s="3" t="n">
        <v>76</v>
      </c>
      <c r="K30" s="3" t="n">
        <v>84</v>
      </c>
      <c r="L30" s="3" t="n">
        <v>91</v>
      </c>
      <c r="M30" s="3" t="n">
        <v>102</v>
      </c>
      <c r="N30" s="4" t="n">
        <v>0.152</v>
      </c>
      <c r="O30" s="4" t="n">
        <v>0.0114</v>
      </c>
      <c r="P30" s="4" t="n">
        <v>0.0009</v>
      </c>
      <c r="Q30" s="4" t="n">
        <v>0.0062</v>
      </c>
      <c r="R30" s="4" t="n">
        <v>0.0019</v>
      </c>
      <c r="S30" s="4" t="n">
        <v>0.2149</v>
      </c>
      <c r="T30" s="4" t="n">
        <v>0.0819</v>
      </c>
      <c r="U30" s="4" t="n">
        <v>0.0121</v>
      </c>
      <c r="V30" t="n">
        <v>6.58</v>
      </c>
      <c r="W30" t="n">
        <v>526.3200000000001</v>
      </c>
      <c r="X30" t="inlineStr">
        <is>
          <t>+52532</t>
        </is>
      </c>
    </row>
    <row r="31">
      <c r="A31" t="n">
        <v>30</v>
      </c>
      <c r="B31" t="inlineStr">
        <is>
          <t>San Jose Sharks</t>
        </is>
      </c>
      <c r="C31" t="inlineStr">
        <is>
          <t>SJS</t>
        </is>
      </c>
      <c r="D31" t="inlineStr">
        <is>
          <t>West</t>
        </is>
      </c>
      <c r="E31" t="inlineStr">
        <is>
          <t>Pacific</t>
        </is>
      </c>
      <c r="F31" s="3" t="n">
        <v>1459.2</v>
      </c>
      <c r="G31" s="3" t="n">
        <v>82.5782</v>
      </c>
      <c r="H31" s="3" t="n">
        <v>11.21767660377311</v>
      </c>
      <c r="I31" s="3" t="n">
        <v>64</v>
      </c>
      <c r="J31" s="3" t="n">
        <v>75</v>
      </c>
      <c r="K31" s="3" t="n">
        <v>82</v>
      </c>
      <c r="L31" s="3" t="n">
        <v>90</v>
      </c>
      <c r="M31" s="3" t="n">
        <v>101</v>
      </c>
      <c r="N31" s="4" t="n">
        <v>0.2144</v>
      </c>
      <c r="O31" s="4" t="n">
        <v>0.023</v>
      </c>
      <c r="P31" s="4" t="n">
        <v>0.0005</v>
      </c>
      <c r="Q31" s="4" t="n">
        <v>0.0076</v>
      </c>
      <c r="R31" s="4" t="n">
        <v>0.0025</v>
      </c>
      <c r="S31" s="4" t="n">
        <v>0.249</v>
      </c>
      <c r="T31" s="4" t="n">
        <v>0.0689</v>
      </c>
      <c r="U31" s="4" t="n">
        <v>0.008999999999999999</v>
      </c>
      <c r="V31" t="n">
        <v>4.66</v>
      </c>
      <c r="W31" t="n">
        <v>400</v>
      </c>
      <c r="X31" t="inlineStr">
        <is>
          <t>+39900</t>
        </is>
      </c>
    </row>
    <row r="32">
      <c r="A32" t="n">
        <v>31</v>
      </c>
      <c r="B32" t="inlineStr">
        <is>
          <t>Vancouver Canucks</t>
        </is>
      </c>
      <c r="C32" t="inlineStr">
        <is>
          <t>VAN</t>
        </is>
      </c>
      <c r="D32" t="inlineStr">
        <is>
          <t>West</t>
        </is>
      </c>
      <c r="E32" t="inlineStr">
        <is>
          <t>Pacific</t>
        </is>
      </c>
      <c r="F32" s="3" t="n">
        <v>1437.1</v>
      </c>
      <c r="G32" s="3" t="n">
        <v>76.7997</v>
      </c>
      <c r="H32" s="3" t="n">
        <v>11.43693404090561</v>
      </c>
      <c r="I32" s="3" t="n">
        <v>58</v>
      </c>
      <c r="J32" s="3" t="n">
        <v>69</v>
      </c>
      <c r="K32" s="3" t="n">
        <v>77</v>
      </c>
      <c r="L32" s="3" t="n">
        <v>84</v>
      </c>
      <c r="M32" s="3" t="n">
        <v>96</v>
      </c>
      <c r="N32" s="4" t="n">
        <v>0.1049</v>
      </c>
      <c r="O32" s="4" t="n">
        <v>0.008399999999999999</v>
      </c>
      <c r="P32" s="4" t="n">
        <v>0.0003</v>
      </c>
      <c r="Q32" s="4" t="n">
        <v>0.002</v>
      </c>
      <c r="R32" s="4" t="n">
        <v>0.0004</v>
      </c>
      <c r="S32" s="4" t="n">
        <v>0.44</v>
      </c>
      <c r="T32" s="4" t="n">
        <v>0.0259</v>
      </c>
      <c r="U32" s="4" t="n">
        <v>0.0019</v>
      </c>
      <c r="V32" t="n">
        <v>9.529999999999999</v>
      </c>
      <c r="W32" t="n">
        <v>2500</v>
      </c>
      <c r="X32" t="inlineStr">
        <is>
          <t>+249900</t>
        </is>
      </c>
    </row>
    <row r="33">
      <c r="A33" t="n">
        <v>32</v>
      </c>
      <c r="B33" t="inlineStr">
        <is>
          <t>Chicago Blackhawks</t>
        </is>
      </c>
      <c r="C33" t="inlineStr">
        <is>
          <t>CHI</t>
        </is>
      </c>
      <c r="D33" t="inlineStr">
        <is>
          <t>West</t>
        </is>
      </c>
      <c r="E33" t="inlineStr">
        <is>
          <t>Central</t>
        </is>
      </c>
      <c r="F33" s="3" t="n">
        <v>1433.9</v>
      </c>
      <c r="G33" s="3" t="n">
        <v>75.4804</v>
      </c>
      <c r="H33" s="3" t="n">
        <v>11.34346874938733</v>
      </c>
      <c r="I33" s="3" t="n">
        <v>57</v>
      </c>
      <c r="J33" s="3" t="n">
        <v>68</v>
      </c>
      <c r="K33" s="3" t="n">
        <v>75</v>
      </c>
      <c r="L33" s="3" t="n">
        <v>83</v>
      </c>
      <c r="M33" s="3" t="n">
        <v>94</v>
      </c>
      <c r="N33" s="4" t="n">
        <v>0.0698</v>
      </c>
      <c r="O33" s="4" t="n">
        <v>0.0011</v>
      </c>
      <c r="P33" s="4" t="n">
        <v>0.0002</v>
      </c>
      <c r="Q33" s="4" t="n">
        <v>0.0013</v>
      </c>
      <c r="R33" s="4" t="n">
        <v>0.0002</v>
      </c>
      <c r="S33" s="4" t="n">
        <v>0.4864</v>
      </c>
      <c r="T33" s="4" t="n">
        <v>0.0188</v>
      </c>
      <c r="U33" s="4" t="n">
        <v>0.0016</v>
      </c>
      <c r="V33" t="n">
        <v>14.33</v>
      </c>
      <c r="W33" t="n">
        <v>5000</v>
      </c>
      <c r="X33" t="inlineStr">
        <is>
          <t>+499900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Team</t>
        </is>
      </c>
      <c r="B1" s="1" t="inlineStr">
        <is>
          <t>P1</t>
        </is>
      </c>
      <c r="C1" s="1" t="inlineStr">
        <is>
          <t>P5</t>
        </is>
      </c>
      <c r="D1" s="1" t="inlineStr">
        <is>
          <t>P10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P(&lt;=75)</t>
        </is>
      </c>
      <c r="L1" s="1" t="inlineStr">
        <is>
          <t>P(&gt;=100)</t>
        </is>
      </c>
    </row>
    <row r="2">
      <c r="A2" t="inlineStr">
        <is>
          <t>Carolina Hurricanes</t>
        </is>
      </c>
      <c r="B2" t="n">
        <v>81</v>
      </c>
      <c r="C2" s="3" t="n">
        <v>89</v>
      </c>
      <c r="D2" t="n">
        <v>94</v>
      </c>
      <c r="E2" s="3" t="n">
        <v>102</v>
      </c>
      <c r="F2" s="3" t="n">
        <v>110</v>
      </c>
      <c r="G2" s="3" t="n">
        <v>118</v>
      </c>
      <c r="H2" t="n">
        <v>125</v>
      </c>
      <c r="I2" s="3" t="n">
        <v>129</v>
      </c>
      <c r="J2" t="n">
        <v>137</v>
      </c>
      <c r="K2" t="n">
        <v>0.003</v>
      </c>
      <c r="L2" t="n">
        <v>0.8</v>
      </c>
    </row>
    <row r="3">
      <c r="A3" t="inlineStr">
        <is>
          <t>Colorado Avalanche</t>
        </is>
      </c>
      <c r="B3" t="n">
        <v>79</v>
      </c>
      <c r="C3" s="3" t="n">
        <v>88</v>
      </c>
      <c r="D3" t="n">
        <v>93</v>
      </c>
      <c r="E3" s="3" t="n">
        <v>101.8</v>
      </c>
      <c r="F3" s="3" t="n">
        <v>110</v>
      </c>
      <c r="G3" s="3" t="n">
        <v>118</v>
      </c>
      <c r="H3" t="n">
        <v>125</v>
      </c>
      <c r="I3" s="3" t="n">
        <v>129</v>
      </c>
      <c r="J3" t="n">
        <v>137</v>
      </c>
      <c r="K3" t="n">
        <v>0.004</v>
      </c>
      <c r="L3" t="n">
        <v>0.794</v>
      </c>
    </row>
    <row r="4">
      <c r="A4" t="inlineStr">
        <is>
          <t>Tampa Bay Lightning</t>
        </is>
      </c>
      <c r="B4" t="n">
        <v>73</v>
      </c>
      <c r="C4" s="3" t="n">
        <v>82</v>
      </c>
      <c r="D4" t="n">
        <v>87</v>
      </c>
      <c r="E4" s="3" t="n">
        <v>95</v>
      </c>
      <c r="F4" s="3" t="n">
        <v>104</v>
      </c>
      <c r="G4" s="3" t="n">
        <v>112</v>
      </c>
      <c r="H4" t="n">
        <v>120</v>
      </c>
      <c r="I4" s="3" t="n">
        <v>124</v>
      </c>
      <c r="J4" t="n">
        <v>131</v>
      </c>
      <c r="K4" t="n">
        <v>0.016</v>
      </c>
      <c r="L4" t="n">
        <v>0.637</v>
      </c>
    </row>
    <row r="5">
      <c r="A5" t="inlineStr">
        <is>
          <t>Vegas Golden Knights</t>
        </is>
      </c>
      <c r="B5" t="n">
        <v>73</v>
      </c>
      <c r="C5" s="3" t="n">
        <v>82</v>
      </c>
      <c r="D5" t="n">
        <v>86</v>
      </c>
      <c r="E5" s="3" t="n">
        <v>94</v>
      </c>
      <c r="F5" s="3" t="n">
        <v>103</v>
      </c>
      <c r="G5" s="3" t="n">
        <v>111</v>
      </c>
      <c r="H5" t="n">
        <v>119</v>
      </c>
      <c r="I5" s="3" t="n">
        <v>123</v>
      </c>
      <c r="J5" t="n">
        <v>131</v>
      </c>
      <c r="K5" t="n">
        <v>0.019</v>
      </c>
      <c r="L5" t="n">
        <v>0.597</v>
      </c>
    </row>
    <row r="6">
      <c r="A6" t="inlineStr">
        <is>
          <t>Dallas Stars</t>
        </is>
      </c>
      <c r="B6" t="n">
        <v>71</v>
      </c>
      <c r="C6" s="3" t="n">
        <v>80</v>
      </c>
      <c r="D6" t="n">
        <v>85</v>
      </c>
      <c r="E6" s="3" t="n">
        <v>92</v>
      </c>
      <c r="F6" s="3" t="n">
        <v>101</v>
      </c>
      <c r="G6" s="3" t="n">
        <v>110</v>
      </c>
      <c r="H6" t="n">
        <v>118</v>
      </c>
      <c r="I6" s="3" t="n">
        <v>122</v>
      </c>
      <c r="J6" t="n">
        <v>130</v>
      </c>
      <c r="K6" t="n">
        <v>0.024</v>
      </c>
      <c r="L6" t="n">
        <v>0.5590000000000001</v>
      </c>
    </row>
    <row r="7">
      <c r="A7" t="inlineStr">
        <is>
          <t>Ottawa Senators</t>
        </is>
      </c>
      <c r="B7" t="n">
        <v>70</v>
      </c>
      <c r="C7" s="3" t="n">
        <v>79</v>
      </c>
      <c r="D7" t="n">
        <v>84</v>
      </c>
      <c r="E7" s="3" t="n">
        <v>92</v>
      </c>
      <c r="F7" s="3" t="n">
        <v>101</v>
      </c>
      <c r="G7" s="3" t="n">
        <v>110</v>
      </c>
      <c r="H7" t="n">
        <v>117</v>
      </c>
      <c r="I7" s="3" t="n">
        <v>122</v>
      </c>
      <c r="J7" t="n">
        <v>130</v>
      </c>
      <c r="K7" t="n">
        <v>0.025</v>
      </c>
      <c r="L7" t="n">
        <v>0.541</v>
      </c>
    </row>
    <row r="8">
      <c r="A8" t="inlineStr">
        <is>
          <t>Minnesota Wild</t>
        </is>
      </c>
      <c r="B8" t="n">
        <v>69</v>
      </c>
      <c r="C8" s="3" t="n">
        <v>78</v>
      </c>
      <c r="D8" t="n">
        <v>83</v>
      </c>
      <c r="E8" s="3" t="n">
        <v>91</v>
      </c>
      <c r="F8" s="3" t="n">
        <v>100</v>
      </c>
      <c r="G8" s="3" t="n">
        <v>109</v>
      </c>
      <c r="H8" t="n">
        <v>116</v>
      </c>
      <c r="I8" s="3" t="n">
        <v>121</v>
      </c>
      <c r="J8" t="n">
        <v>128</v>
      </c>
      <c r="K8" t="n">
        <v>0.034</v>
      </c>
      <c r="L8" t="n">
        <v>0.519</v>
      </c>
    </row>
    <row r="9">
      <c r="A9" t="inlineStr">
        <is>
          <t>Edmonton Oilers</t>
        </is>
      </c>
      <c r="B9" t="n">
        <v>68</v>
      </c>
      <c r="C9" s="3" t="n">
        <v>76</v>
      </c>
      <c r="D9" t="n">
        <v>81</v>
      </c>
      <c r="E9" s="3" t="n">
        <v>89</v>
      </c>
      <c r="F9" s="3" t="n">
        <v>98</v>
      </c>
      <c r="G9" s="3" t="n">
        <v>107</v>
      </c>
      <c r="H9" t="n">
        <v>114</v>
      </c>
      <c r="I9" s="3" t="n">
        <v>119</v>
      </c>
      <c r="J9" t="n">
        <v>127</v>
      </c>
      <c r="K9" t="n">
        <v>0.046</v>
      </c>
      <c r="L9" t="n">
        <v>0.453</v>
      </c>
    </row>
    <row r="10">
      <c r="A10" t="inlineStr">
        <is>
          <t>Buffalo Sabres</t>
        </is>
      </c>
      <c r="B10" t="n">
        <v>67</v>
      </c>
      <c r="C10" s="3" t="n">
        <v>77</v>
      </c>
      <c r="D10" t="n">
        <v>81</v>
      </c>
      <c r="E10" s="3" t="n">
        <v>90</v>
      </c>
      <c r="F10" s="3" t="n">
        <v>98</v>
      </c>
      <c r="G10" s="3" t="n">
        <v>107</v>
      </c>
      <c r="H10" t="n">
        <v>115</v>
      </c>
      <c r="I10" s="3" t="n">
        <v>119</v>
      </c>
      <c r="J10" t="n">
        <v>127</v>
      </c>
      <c r="K10" t="n">
        <v>0.042</v>
      </c>
      <c r="L10" t="n">
        <v>0.467</v>
      </c>
    </row>
    <row r="11">
      <c r="A11" t="inlineStr">
        <is>
          <t>Montreal Canadiens</t>
        </is>
      </c>
      <c r="B11" t="n">
        <v>66</v>
      </c>
      <c r="C11" s="3" t="n">
        <v>75</v>
      </c>
      <c r="D11" t="n">
        <v>79</v>
      </c>
      <c r="E11" s="3" t="n">
        <v>87</v>
      </c>
      <c r="F11" s="3" t="n">
        <v>97</v>
      </c>
      <c r="G11" s="3" t="n">
        <v>106</v>
      </c>
      <c r="H11" t="n">
        <v>113</v>
      </c>
      <c r="I11" s="3" t="n">
        <v>118</v>
      </c>
      <c r="J11" t="n">
        <v>126</v>
      </c>
      <c r="K11" t="n">
        <v>0.055</v>
      </c>
      <c r="L11" t="n">
        <v>0.413</v>
      </c>
    </row>
    <row r="12">
      <c r="A12" t="inlineStr">
        <is>
          <t>Washington Capitals</t>
        </is>
      </c>
      <c r="B12" t="n">
        <v>66</v>
      </c>
      <c r="C12" s="3" t="n">
        <v>75</v>
      </c>
      <c r="D12" t="n">
        <v>80</v>
      </c>
      <c r="E12" s="3" t="n">
        <v>88</v>
      </c>
      <c r="F12" s="3" t="n">
        <v>97</v>
      </c>
      <c r="G12" s="3" t="n">
        <v>105</v>
      </c>
      <c r="H12" t="n">
        <v>113</v>
      </c>
      <c r="I12" s="3" t="n">
        <v>117</v>
      </c>
      <c r="J12" t="n">
        <v>126</v>
      </c>
      <c r="K12" t="n">
        <v>0.053</v>
      </c>
      <c r="L12" t="n">
        <v>0.413</v>
      </c>
    </row>
    <row r="13">
      <c r="A13" t="inlineStr">
        <is>
          <t>Utah Mammoth</t>
        </is>
      </c>
      <c r="B13" t="n">
        <v>64</v>
      </c>
      <c r="C13" s="3" t="n">
        <v>73</v>
      </c>
      <c r="D13" t="n">
        <v>78</v>
      </c>
      <c r="E13" s="3" t="n">
        <v>86</v>
      </c>
      <c r="F13" s="3" t="n">
        <v>95</v>
      </c>
      <c r="G13" s="3" t="n">
        <v>104</v>
      </c>
      <c r="H13" t="n">
        <v>112</v>
      </c>
      <c r="I13" s="3" t="n">
        <v>116</v>
      </c>
      <c r="J13" t="n">
        <v>124</v>
      </c>
      <c r="K13" t="n">
        <v>0.06900000000000001</v>
      </c>
      <c r="L13" t="n">
        <v>0.37</v>
      </c>
    </row>
    <row r="14">
      <c r="A14" t="inlineStr">
        <is>
          <t>Pittsburgh Penguins</t>
        </is>
      </c>
      <c r="B14" t="n">
        <v>64</v>
      </c>
      <c r="C14" s="3" t="n">
        <v>73</v>
      </c>
      <c r="D14" t="n">
        <v>78</v>
      </c>
      <c r="E14" s="3" t="n">
        <v>86</v>
      </c>
      <c r="F14" s="3" t="n">
        <v>95</v>
      </c>
      <c r="G14" s="3" t="n">
        <v>104</v>
      </c>
      <c r="H14" t="n">
        <v>111</v>
      </c>
      <c r="I14" s="3" t="n">
        <v>116</v>
      </c>
      <c r="J14" t="n">
        <v>124</v>
      </c>
      <c r="K14" t="n">
        <v>0.074</v>
      </c>
      <c r="L14" t="n">
        <v>0.358</v>
      </c>
    </row>
    <row r="15">
      <c r="A15" t="inlineStr">
        <is>
          <t>Florida Panthers</t>
        </is>
      </c>
      <c r="B15" t="n">
        <v>64</v>
      </c>
      <c r="C15" s="3" t="n">
        <v>73</v>
      </c>
      <c r="D15" t="n">
        <v>77</v>
      </c>
      <c r="E15" s="3" t="n">
        <v>85</v>
      </c>
      <c r="F15" s="3" t="n">
        <v>94</v>
      </c>
      <c r="G15" s="3" t="n">
        <v>103</v>
      </c>
      <c r="H15" t="n">
        <v>110</v>
      </c>
      <c r="I15" s="3" t="n">
        <v>115</v>
      </c>
      <c r="J15" t="n">
        <v>123</v>
      </c>
      <c r="K15" t="n">
        <v>0.077</v>
      </c>
      <c r="L15" t="n">
        <v>0.346</v>
      </c>
    </row>
    <row r="16">
      <c r="A16" t="inlineStr">
        <is>
          <t>Columbus Blue Jackets</t>
        </is>
      </c>
      <c r="B16" t="n">
        <v>62</v>
      </c>
      <c r="C16" s="3" t="n">
        <v>71</v>
      </c>
      <c r="D16" t="n">
        <v>76</v>
      </c>
      <c r="E16" s="3" t="n">
        <v>85</v>
      </c>
      <c r="F16" s="3" t="n">
        <v>93</v>
      </c>
      <c r="G16" s="3" t="n">
        <v>102</v>
      </c>
      <c r="H16" t="n">
        <v>110</v>
      </c>
      <c r="I16" s="3" t="n">
        <v>114</v>
      </c>
      <c r="J16" t="n">
        <v>123</v>
      </c>
      <c r="K16" t="n">
        <v>0.092</v>
      </c>
      <c r="L16" t="n">
        <v>0.319</v>
      </c>
    </row>
    <row r="17">
      <c r="A17" t="inlineStr">
        <is>
          <t>New Jersey Devils</t>
        </is>
      </c>
      <c r="B17" t="n">
        <v>63</v>
      </c>
      <c r="C17" s="3" t="n">
        <v>71</v>
      </c>
      <c r="D17" t="n">
        <v>76</v>
      </c>
      <c r="E17" s="3" t="n">
        <v>84</v>
      </c>
      <c r="F17" s="3" t="n">
        <v>93</v>
      </c>
      <c r="G17" s="3" t="n">
        <v>101</v>
      </c>
      <c r="H17" t="n">
        <v>109</v>
      </c>
      <c r="I17" s="3" t="n">
        <v>114</v>
      </c>
      <c r="J17" t="n">
        <v>122</v>
      </c>
      <c r="K17" t="n">
        <v>0.095</v>
      </c>
      <c r="L17" t="n">
        <v>0.303</v>
      </c>
    </row>
    <row r="18">
      <c r="A18" t="inlineStr">
        <is>
          <t>Philadelphia Flyers</t>
        </is>
      </c>
      <c r="B18" t="n">
        <v>63</v>
      </c>
      <c r="C18" s="3" t="n">
        <v>72</v>
      </c>
      <c r="D18" t="n">
        <v>77</v>
      </c>
      <c r="E18" s="3" t="n">
        <v>85</v>
      </c>
      <c r="F18" s="3" t="n">
        <v>93</v>
      </c>
      <c r="G18" s="3" t="n">
        <v>102</v>
      </c>
      <c r="H18" t="n">
        <v>110</v>
      </c>
      <c r="I18" s="3" t="n">
        <v>115</v>
      </c>
      <c r="J18" t="n">
        <v>123</v>
      </c>
      <c r="K18" t="n">
        <v>0.08799999999999999</v>
      </c>
      <c r="L18" t="n">
        <v>0.329</v>
      </c>
    </row>
    <row r="19">
      <c r="A19" t="inlineStr">
        <is>
          <t>St. Louis Blues</t>
        </is>
      </c>
      <c r="B19" t="n">
        <v>62</v>
      </c>
      <c r="C19" s="3" t="n">
        <v>70</v>
      </c>
      <c r="D19" t="n">
        <v>75</v>
      </c>
      <c r="E19" s="3" t="n">
        <v>83</v>
      </c>
      <c r="F19" s="3" t="n">
        <v>92</v>
      </c>
      <c r="G19" s="3" t="n">
        <v>101</v>
      </c>
      <c r="H19" t="n">
        <v>109</v>
      </c>
      <c r="I19" s="3" t="n">
        <v>113</v>
      </c>
      <c r="J19" t="n">
        <v>122</v>
      </c>
      <c r="K19" t="n">
        <v>0.11</v>
      </c>
      <c r="L19" t="n">
        <v>0.276</v>
      </c>
    </row>
    <row r="20">
      <c r="A20" t="inlineStr">
        <is>
          <t>Anaheim Ducks</t>
        </is>
      </c>
      <c r="B20" t="n">
        <v>62</v>
      </c>
      <c r="C20" s="3" t="n">
        <v>70</v>
      </c>
      <c r="D20" t="n">
        <v>75</v>
      </c>
      <c r="E20" s="3" t="n">
        <v>83</v>
      </c>
      <c r="F20" s="3" t="n">
        <v>92</v>
      </c>
      <c r="G20" s="3" t="n">
        <v>101</v>
      </c>
      <c r="H20" t="n">
        <v>108</v>
      </c>
      <c r="I20" s="3" t="n">
        <v>113</v>
      </c>
      <c r="J20" t="n">
        <v>121</v>
      </c>
      <c r="K20" t="n">
        <v>0.107</v>
      </c>
      <c r="L20" t="n">
        <v>0.275</v>
      </c>
    </row>
    <row r="21">
      <c r="A21" t="inlineStr">
        <is>
          <t>Boston Bruins</t>
        </is>
      </c>
      <c r="B21" t="n">
        <v>62</v>
      </c>
      <c r="C21" s="3" t="n">
        <v>70</v>
      </c>
      <c r="D21" t="n">
        <v>75</v>
      </c>
      <c r="E21" s="3" t="n">
        <v>83</v>
      </c>
      <c r="F21" s="3" t="n">
        <v>92</v>
      </c>
      <c r="G21" s="3" t="n">
        <v>101</v>
      </c>
      <c r="H21" t="n">
        <v>108</v>
      </c>
      <c r="I21" s="3" t="n">
        <v>113</v>
      </c>
      <c r="J21" t="n">
        <v>121</v>
      </c>
      <c r="K21" t="n">
        <v>0.109</v>
      </c>
      <c r="L21" t="n">
        <v>0.279</v>
      </c>
    </row>
    <row r="22">
      <c r="A22" t="inlineStr">
        <is>
          <t>Los Angeles Kings</t>
        </is>
      </c>
      <c r="B22" t="n">
        <v>62</v>
      </c>
      <c r="C22" s="3" t="n">
        <v>70</v>
      </c>
      <c r="D22" t="n">
        <v>75</v>
      </c>
      <c r="E22" s="3" t="n">
        <v>83</v>
      </c>
      <c r="F22" s="3" t="n">
        <v>92</v>
      </c>
      <c r="G22" s="3" t="n">
        <v>102</v>
      </c>
      <c r="H22" t="n">
        <v>109</v>
      </c>
      <c r="I22" s="3" t="n">
        <v>114</v>
      </c>
      <c r="J22" t="n">
        <v>122</v>
      </c>
      <c r="K22" t="n">
        <v>0.103</v>
      </c>
      <c r="L22" t="n">
        <v>0.303</v>
      </c>
    </row>
    <row r="23">
      <c r="A23" t="inlineStr">
        <is>
          <t>Detroit Red Wings</t>
        </is>
      </c>
      <c r="B23" t="n">
        <v>62</v>
      </c>
      <c r="C23" s="3" t="n">
        <v>70</v>
      </c>
      <c r="D23" t="n">
        <v>75</v>
      </c>
      <c r="E23" s="3" t="n">
        <v>83</v>
      </c>
      <c r="F23" s="3" t="n">
        <v>92</v>
      </c>
      <c r="G23" s="3" t="n">
        <v>101</v>
      </c>
      <c r="H23" t="n">
        <v>109</v>
      </c>
      <c r="I23" s="3" t="n">
        <v>113</v>
      </c>
      <c r="J23" t="n">
        <v>121</v>
      </c>
      <c r="K23" t="n">
        <v>0.108</v>
      </c>
      <c r="L23" t="n">
        <v>0.286</v>
      </c>
    </row>
    <row r="24">
      <c r="A24" t="inlineStr">
        <is>
          <t>Winnipeg Jets</t>
        </is>
      </c>
      <c r="B24" t="n">
        <v>61</v>
      </c>
      <c r="C24" s="3" t="n">
        <v>70</v>
      </c>
      <c r="D24" t="n">
        <v>74</v>
      </c>
      <c r="E24" s="3" t="n">
        <v>83</v>
      </c>
      <c r="F24" s="3" t="n">
        <v>91</v>
      </c>
      <c r="G24" s="3" t="n">
        <v>100</v>
      </c>
      <c r="H24" t="n">
        <v>108</v>
      </c>
      <c r="I24" s="3" t="n">
        <v>112</v>
      </c>
      <c r="J24" t="n">
        <v>120</v>
      </c>
      <c r="K24" t="n">
        <v>0.118</v>
      </c>
      <c r="L24" t="n">
        <v>0.268</v>
      </c>
    </row>
    <row r="25">
      <c r="A25" t="inlineStr">
        <is>
          <t>New York Rangers</t>
        </is>
      </c>
      <c r="B25" t="n">
        <v>58</v>
      </c>
      <c r="C25" s="3" t="n">
        <v>67</v>
      </c>
      <c r="D25" t="n">
        <v>71</v>
      </c>
      <c r="E25" s="3" t="n">
        <v>80</v>
      </c>
      <c r="F25" s="3" t="n">
        <v>89</v>
      </c>
      <c r="G25" s="3" t="n">
        <v>98</v>
      </c>
      <c r="H25" t="n">
        <v>106</v>
      </c>
      <c r="I25" s="3" t="n">
        <v>110</v>
      </c>
      <c r="J25" t="n">
        <v>119</v>
      </c>
      <c r="K25" t="n">
        <v>0.165</v>
      </c>
      <c r="L25" t="n">
        <v>0.212</v>
      </c>
    </row>
    <row r="26">
      <c r="A26" t="inlineStr">
        <is>
          <t>New York Islanders</t>
        </is>
      </c>
      <c r="B26" t="n">
        <v>59</v>
      </c>
      <c r="C26" s="3" t="n">
        <v>67</v>
      </c>
      <c r="D26" t="n">
        <v>72</v>
      </c>
      <c r="E26" s="3" t="n">
        <v>80</v>
      </c>
      <c r="F26" s="3" t="n">
        <v>89</v>
      </c>
      <c r="G26" s="3" t="n">
        <v>98</v>
      </c>
      <c r="H26" t="n">
        <v>106</v>
      </c>
      <c r="I26" s="3" t="n">
        <v>110</v>
      </c>
      <c r="J26" t="n">
        <v>118</v>
      </c>
      <c r="K26" t="n">
        <v>0.154</v>
      </c>
      <c r="L26" t="n">
        <v>0.216</v>
      </c>
    </row>
    <row r="27">
      <c r="A27" t="inlineStr">
        <is>
          <t>Nashville Predators</t>
        </is>
      </c>
      <c r="B27" t="n">
        <v>59</v>
      </c>
      <c r="C27" s="3" t="n">
        <v>68</v>
      </c>
      <c r="D27" t="n">
        <v>73</v>
      </c>
      <c r="E27" s="3" t="n">
        <v>80</v>
      </c>
      <c r="F27" s="3" t="n">
        <v>89</v>
      </c>
      <c r="G27" s="3" t="n">
        <v>98</v>
      </c>
      <c r="H27" t="n">
        <v>106</v>
      </c>
      <c r="I27" s="3" t="n">
        <v>111</v>
      </c>
      <c r="J27" t="n">
        <v>120</v>
      </c>
      <c r="K27" t="n">
        <v>0.144</v>
      </c>
      <c r="L27" t="n">
        <v>0.218</v>
      </c>
    </row>
    <row r="28">
      <c r="A28" t="inlineStr">
        <is>
          <t>Calgary Flames</t>
        </is>
      </c>
      <c r="B28" t="n">
        <v>56</v>
      </c>
      <c r="C28" s="3" t="n">
        <v>65</v>
      </c>
      <c r="D28" t="n">
        <v>69</v>
      </c>
      <c r="E28" s="3" t="n">
        <v>77</v>
      </c>
      <c r="F28" s="3" t="n">
        <v>86</v>
      </c>
      <c r="G28" s="3" t="n">
        <v>95</v>
      </c>
      <c r="H28" t="n">
        <v>103</v>
      </c>
      <c r="I28" s="3" t="n">
        <v>108</v>
      </c>
      <c r="J28" t="n">
        <v>116</v>
      </c>
      <c r="K28" t="n">
        <v>0.208</v>
      </c>
      <c r="L28" t="n">
        <v>0.159</v>
      </c>
    </row>
    <row r="29">
      <c r="A29" t="inlineStr">
        <is>
          <t>Seattle Kraken</t>
        </is>
      </c>
      <c r="B29" t="n">
        <v>56</v>
      </c>
      <c r="C29" s="3" t="n">
        <v>64</v>
      </c>
      <c r="D29" t="n">
        <v>69</v>
      </c>
      <c r="E29" s="3" t="n">
        <v>77</v>
      </c>
      <c r="F29" s="3" t="n">
        <v>85</v>
      </c>
      <c r="G29" s="3" t="n">
        <v>94</v>
      </c>
      <c r="H29" t="n">
        <v>102</v>
      </c>
      <c r="I29" s="3" t="n">
        <v>107</v>
      </c>
      <c r="J29" t="n">
        <v>115</v>
      </c>
      <c r="K29" t="n">
        <v>0.225</v>
      </c>
      <c r="L29" t="n">
        <v>0.143</v>
      </c>
    </row>
    <row r="30">
      <c r="A30" t="inlineStr">
        <is>
          <t>Toronto Maple Leafs</t>
        </is>
      </c>
      <c r="B30" t="n">
        <v>54</v>
      </c>
      <c r="C30" s="3" t="n">
        <v>63</v>
      </c>
      <c r="D30" t="n">
        <v>68</v>
      </c>
      <c r="E30" s="3" t="n">
        <v>76</v>
      </c>
      <c r="F30" s="3" t="n">
        <v>85</v>
      </c>
      <c r="G30" s="3" t="n">
        <v>94</v>
      </c>
      <c r="H30" t="n">
        <v>102</v>
      </c>
      <c r="I30" s="3" t="n">
        <v>107</v>
      </c>
      <c r="J30" t="n">
        <v>116</v>
      </c>
      <c r="K30" t="n">
        <v>0.236</v>
      </c>
      <c r="L30" t="n">
        <v>0.138</v>
      </c>
    </row>
    <row r="31">
      <c r="A31" t="inlineStr">
        <is>
          <t>San Jose Sharks</t>
        </is>
      </c>
      <c r="B31" t="n">
        <v>54</v>
      </c>
      <c r="C31" s="3" t="n">
        <v>63</v>
      </c>
      <c r="D31" t="n">
        <v>67</v>
      </c>
      <c r="E31" s="3" t="n">
        <v>75</v>
      </c>
      <c r="F31" s="3" t="n">
        <v>84</v>
      </c>
      <c r="G31" s="3" t="n">
        <v>93</v>
      </c>
      <c r="H31" t="n">
        <v>101</v>
      </c>
      <c r="I31" s="3" t="n">
        <v>106</v>
      </c>
      <c r="J31" t="n">
        <v>115</v>
      </c>
      <c r="K31" t="n">
        <v>0.261</v>
      </c>
      <c r="L31" t="n">
        <v>0.118</v>
      </c>
    </row>
    <row r="32">
      <c r="A32" t="inlineStr">
        <is>
          <t>Vancouver Canucks</t>
        </is>
      </c>
      <c r="B32" t="n">
        <v>50</v>
      </c>
      <c r="C32" s="3" t="n">
        <v>58</v>
      </c>
      <c r="D32" t="n">
        <v>62</v>
      </c>
      <c r="E32" s="3" t="n">
        <v>70</v>
      </c>
      <c r="F32" s="3" t="n">
        <v>79</v>
      </c>
      <c r="G32" s="3" t="n">
        <v>88</v>
      </c>
      <c r="H32" t="n">
        <v>96</v>
      </c>
      <c r="I32" s="3" t="n">
        <v>100</v>
      </c>
      <c r="J32" t="n">
        <v>110</v>
      </c>
      <c r="K32" t="n">
        <v>0.398</v>
      </c>
      <c r="L32" t="n">
        <v>0.058</v>
      </c>
    </row>
    <row r="33">
      <c r="A33" t="inlineStr">
        <is>
          <t>Chicago Blackhawks</t>
        </is>
      </c>
      <c r="B33" t="n">
        <v>48</v>
      </c>
      <c r="C33" s="3" t="n">
        <v>56</v>
      </c>
      <c r="D33" t="n">
        <v>61</v>
      </c>
      <c r="E33" s="3" t="n">
        <v>69</v>
      </c>
      <c r="F33" s="3" t="n">
        <v>77</v>
      </c>
      <c r="G33" s="3" t="n">
        <v>86</v>
      </c>
      <c r="H33" t="n">
        <v>95</v>
      </c>
      <c r="I33" s="3" t="n">
        <v>99</v>
      </c>
      <c r="J33" t="n">
        <v>109</v>
      </c>
      <c r="K33" t="n">
        <v>0.441</v>
      </c>
      <c r="L33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Team</t>
        </is>
      </c>
      <c r="B1" s="1" t="inlineStr">
        <is>
          <t>Abbr</t>
        </is>
      </c>
      <c r="C1" s="1" t="inlineStr">
        <is>
          <t>Elo end 2025-26</t>
        </is>
      </c>
      <c r="D1" s="1" t="inlineStr">
        <is>
          <t>xG% 2025-26 (all situations)</t>
        </is>
      </c>
      <c r="E1" s="1" t="inlineStr">
        <is>
          <t>xG-implied rating</t>
        </is>
      </c>
      <c r="F1" s="1" t="inlineStr">
        <is>
          <t>Blended deviation</t>
        </is>
      </c>
      <c r="G1" s="1" t="inlineStr">
        <is>
          <t>Projected mean 2026-27</t>
        </is>
      </c>
      <c r="H1" s="1" t="inlineStr">
        <is>
          <t>Projected mean 2027-28</t>
        </is>
      </c>
    </row>
    <row r="2">
      <c r="A2" t="inlineStr">
        <is>
          <t>Carolina Hurricanes</t>
        </is>
      </c>
      <c r="B2" t="inlineStr">
        <is>
          <t>CAR</t>
        </is>
      </c>
      <c r="C2" t="n">
        <v>1606.3</v>
      </c>
      <c r="D2" t="n">
        <v>0.5611</v>
      </c>
      <c r="E2" t="n">
        <v>1572.9</v>
      </c>
      <c r="F2" t="n">
        <v>87.90000000000001</v>
      </c>
      <c r="G2" t="n">
        <v>1579.7</v>
      </c>
      <c r="H2" t="n">
        <v>1570.9</v>
      </c>
    </row>
    <row r="3">
      <c r="A3" t="inlineStr">
        <is>
          <t>Colorado Avalanche</t>
        </is>
      </c>
      <c r="B3" t="inlineStr">
        <is>
          <t>COL</t>
        </is>
      </c>
      <c r="C3" t="n">
        <v>1593.9</v>
      </c>
      <c r="D3" t="n">
        <v>0.5655</v>
      </c>
      <c r="E3" t="n">
        <v>1577.8</v>
      </c>
      <c r="F3" t="n">
        <v>82.5</v>
      </c>
      <c r="G3" t="n">
        <v>1575.1</v>
      </c>
      <c r="H3" t="n">
        <v>1566.8</v>
      </c>
    </row>
    <row r="4">
      <c r="A4" t="inlineStr">
        <is>
          <t>Tampa Bay Lightning</t>
        </is>
      </c>
      <c r="B4" t="inlineStr">
        <is>
          <t>TBL</t>
        </is>
      </c>
      <c r="C4" t="n">
        <v>1565.5</v>
      </c>
      <c r="D4" t="n">
        <v>0.5407999999999999</v>
      </c>
      <c r="E4" t="n">
        <v>1550.3</v>
      </c>
      <c r="F4" t="n">
        <v>54.5</v>
      </c>
      <c r="G4" t="n">
        <v>1551.3</v>
      </c>
      <c r="H4" t="n">
        <v>1545.8</v>
      </c>
    </row>
    <row r="5">
      <c r="A5" t="inlineStr">
        <is>
          <t>Buffalo Sabres</t>
        </is>
      </c>
      <c r="B5" t="inlineStr">
        <is>
          <t>BUF</t>
        </is>
      </c>
      <c r="C5" t="n">
        <v>1555.3</v>
      </c>
      <c r="D5" t="n">
        <v>0.4938</v>
      </c>
      <c r="E5" t="n">
        <v>1498.1</v>
      </c>
      <c r="F5" t="n">
        <v>27.4</v>
      </c>
      <c r="G5" t="n">
        <v>1528.3</v>
      </c>
      <c r="H5" t="n">
        <v>1525.6</v>
      </c>
    </row>
    <row r="6">
      <c r="A6" t="inlineStr">
        <is>
          <t>Dallas Stars</t>
        </is>
      </c>
      <c r="B6" t="inlineStr">
        <is>
          <t>DAL</t>
        </is>
      </c>
      <c r="C6" t="n">
        <v>1553.1</v>
      </c>
      <c r="D6" t="n">
        <v>0.5215</v>
      </c>
      <c r="E6" t="n">
        <v>1528.8</v>
      </c>
      <c r="F6" t="n">
        <v>38.4</v>
      </c>
      <c r="G6" t="n">
        <v>1537.6</v>
      </c>
      <c r="H6" t="n">
        <v>1533.8</v>
      </c>
    </row>
    <row r="7">
      <c r="A7" t="inlineStr">
        <is>
          <t>Vegas Golden Knights</t>
        </is>
      </c>
      <c r="B7" t="inlineStr">
        <is>
          <t>VGK</t>
        </is>
      </c>
      <c r="C7" t="n">
        <v>1544.7</v>
      </c>
      <c r="D7" t="n">
        <v>0.5402</v>
      </c>
      <c r="E7" t="n">
        <v>1549.6</v>
      </c>
      <c r="F7" t="n">
        <v>41.6</v>
      </c>
      <c r="G7" t="n">
        <v>1540.4</v>
      </c>
      <c r="H7" t="n">
        <v>1536.2</v>
      </c>
    </row>
    <row r="8">
      <c r="A8" t="inlineStr">
        <is>
          <t>Minnesota Wild</t>
        </is>
      </c>
      <c r="B8" t="inlineStr">
        <is>
          <t>MIN</t>
        </is>
      </c>
      <c r="C8" t="n">
        <v>1540.4</v>
      </c>
      <c r="D8" t="n">
        <v>0.5226</v>
      </c>
      <c r="E8" t="n">
        <v>1530.1</v>
      </c>
      <c r="F8" t="n">
        <v>31.3</v>
      </c>
      <c r="G8" t="n">
        <v>1531.6</v>
      </c>
      <c r="H8" t="n">
        <v>1528.5</v>
      </c>
    </row>
    <row r="9">
      <c r="A9" t="inlineStr">
        <is>
          <t>Montreal Canadiens</t>
        </is>
      </c>
      <c r="B9" t="inlineStr">
        <is>
          <t>MTL</t>
        </is>
      </c>
      <c r="C9" t="n">
        <v>1537.2</v>
      </c>
      <c r="D9" t="n">
        <v>0.4953</v>
      </c>
      <c r="E9" t="n">
        <v>1499.8</v>
      </c>
      <c r="F9" t="n">
        <v>17.2</v>
      </c>
      <c r="G9" t="n">
        <v>1519.6</v>
      </c>
      <c r="H9" t="n">
        <v>1517.9</v>
      </c>
    </row>
    <row r="10">
      <c r="A10" t="inlineStr">
        <is>
          <t>Ottawa Senators</t>
        </is>
      </c>
      <c r="B10" t="inlineStr">
        <is>
          <t>OTT</t>
        </is>
      </c>
      <c r="C10" t="n">
        <v>1532.6</v>
      </c>
      <c r="D10" t="n">
        <v>0.5516</v>
      </c>
      <c r="E10" t="n">
        <v>1562.3</v>
      </c>
      <c r="F10" t="n">
        <v>39.5</v>
      </c>
      <c r="G10" t="n">
        <v>1538.6</v>
      </c>
      <c r="H10" t="n">
        <v>1534.6</v>
      </c>
    </row>
    <row r="11">
      <c r="A11" t="inlineStr">
        <is>
          <t>Washington Capitals</t>
        </is>
      </c>
      <c r="B11" t="inlineStr">
        <is>
          <t>WSH</t>
        </is>
      </c>
      <c r="C11" t="n">
        <v>1529.6</v>
      </c>
      <c r="D11" t="n">
        <v>0.5064</v>
      </c>
      <c r="E11" t="n">
        <v>1512.1</v>
      </c>
      <c r="F11" t="n">
        <v>17.6</v>
      </c>
      <c r="G11" t="n">
        <v>1519.9</v>
      </c>
      <c r="H11" t="n">
        <v>1518.2</v>
      </c>
    </row>
    <row r="12">
      <c r="A12" t="inlineStr">
        <is>
          <t>Edmonton Oilers</t>
        </is>
      </c>
      <c r="B12" t="inlineStr">
        <is>
          <t>EDM</t>
        </is>
      </c>
      <c r="C12" t="n">
        <v>1520.9</v>
      </c>
      <c r="D12" t="n">
        <v>0.5163</v>
      </c>
      <c r="E12" t="n">
        <v>1523.1</v>
      </c>
      <c r="F12" t="n">
        <v>16.8</v>
      </c>
      <c r="G12" t="n">
        <v>1519.3</v>
      </c>
      <c r="H12" t="n">
        <v>1517.6</v>
      </c>
    </row>
    <row r="13">
      <c r="A13" t="inlineStr">
        <is>
          <t>Florida Panthers</t>
        </is>
      </c>
      <c r="B13" t="inlineStr">
        <is>
          <t>FLA</t>
        </is>
      </c>
      <c r="C13" t="n">
        <v>1514.2</v>
      </c>
      <c r="D13" t="n">
        <v>0.5</v>
      </c>
      <c r="E13" t="n">
        <v>1505</v>
      </c>
      <c r="F13" t="n">
        <v>5.5</v>
      </c>
      <c r="G13" t="n">
        <v>1509.7</v>
      </c>
      <c r="H13" t="n">
        <v>1509.1</v>
      </c>
    </row>
    <row r="14">
      <c r="A14" t="inlineStr">
        <is>
          <t>Boston Bruins</t>
        </is>
      </c>
      <c r="B14" t="inlineStr">
        <is>
          <t>BOS</t>
        </is>
      </c>
      <c r="C14" t="n">
        <v>1512.2</v>
      </c>
      <c r="D14" t="n">
        <v>0.4714</v>
      </c>
      <c r="E14" t="n">
        <v>1473.3</v>
      </c>
      <c r="F14" t="n">
        <v>-8.4</v>
      </c>
      <c r="G14" t="n">
        <v>1497.9</v>
      </c>
      <c r="H14" t="n">
        <v>1498.7</v>
      </c>
    </row>
    <row r="15">
      <c r="A15" t="inlineStr">
        <is>
          <t>Utah Mammoth</t>
        </is>
      </c>
      <c r="B15" t="inlineStr">
        <is>
          <t>UTA</t>
        </is>
      </c>
      <c r="C15" t="n">
        <v>1510.2</v>
      </c>
      <c r="D15" t="n">
        <v>0.5073</v>
      </c>
      <c r="E15" t="n">
        <v>1513.1</v>
      </c>
      <c r="F15" t="n">
        <v>6.3</v>
      </c>
      <c r="G15" t="n">
        <v>1510.4</v>
      </c>
      <c r="H15" t="n">
        <v>1509.8</v>
      </c>
    </row>
    <row r="16">
      <c r="A16" t="inlineStr">
        <is>
          <t>St. Louis Blues</t>
        </is>
      </c>
      <c r="B16" t="inlineStr">
        <is>
          <t>STL</t>
        </is>
      </c>
      <c r="C16" t="n">
        <v>1506.5</v>
      </c>
      <c r="D16" t="n">
        <v>0.4735</v>
      </c>
      <c r="E16" t="n">
        <v>1475.6</v>
      </c>
      <c r="F16" t="n">
        <v>-10.9</v>
      </c>
      <c r="G16" t="n">
        <v>1495.7</v>
      </c>
      <c r="H16" t="n">
        <v>1496.8</v>
      </c>
    </row>
    <row r="17">
      <c r="A17" t="inlineStr">
        <is>
          <t>Pittsburgh Penguins</t>
        </is>
      </c>
      <c r="B17" t="inlineStr">
        <is>
          <t>PIT</t>
        </is>
      </c>
      <c r="C17" t="n">
        <v>1506.3</v>
      </c>
      <c r="D17" t="n">
        <v>0.5124</v>
      </c>
      <c r="E17" t="n">
        <v>1518.8</v>
      </c>
      <c r="F17" t="n">
        <v>6.3</v>
      </c>
      <c r="G17" t="n">
        <v>1510.3</v>
      </c>
      <c r="H17" t="n">
        <v>1509.7</v>
      </c>
    </row>
    <row r="18">
      <c r="A18" t="inlineStr">
        <is>
          <t>Columbus Blue Jackets</t>
        </is>
      </c>
      <c r="B18" t="inlineStr">
        <is>
          <t>CBJ</t>
        </is>
      </c>
      <c r="C18" t="n">
        <v>1505.6</v>
      </c>
      <c r="D18" t="n">
        <v>0.5002</v>
      </c>
      <c r="E18" t="n">
        <v>1505.2</v>
      </c>
      <c r="F18" t="n">
        <v>0.4</v>
      </c>
      <c r="G18" t="n">
        <v>1505.3</v>
      </c>
      <c r="H18" t="n">
        <v>1505.3</v>
      </c>
    </row>
    <row r="19">
      <c r="A19" t="inlineStr">
        <is>
          <t>Philadelphia Flyers</t>
        </is>
      </c>
      <c r="B19" t="inlineStr">
        <is>
          <t>PHI</t>
        </is>
      </c>
      <c r="C19" t="n">
        <v>1500.1</v>
      </c>
      <c r="D19" t="n">
        <v>0.5098</v>
      </c>
      <c r="E19" t="n">
        <v>1515.9</v>
      </c>
      <c r="F19" t="n">
        <v>1.4</v>
      </c>
      <c r="G19" t="n">
        <v>1506.2</v>
      </c>
      <c r="H19" t="n">
        <v>1506.1</v>
      </c>
    </row>
    <row r="20">
      <c r="A20" t="inlineStr">
        <is>
          <t>Winnipeg Jets</t>
        </is>
      </c>
      <c r="B20" t="inlineStr">
        <is>
          <t>WPG</t>
        </is>
      </c>
      <c r="C20" t="n">
        <v>1493.5</v>
      </c>
      <c r="D20" t="n">
        <v>0.4842</v>
      </c>
      <c r="E20" t="n">
        <v>1487.4</v>
      </c>
      <c r="F20" t="n">
        <v>-14</v>
      </c>
      <c r="G20" t="n">
        <v>1493.1</v>
      </c>
      <c r="H20" t="n">
        <v>1494.5</v>
      </c>
    </row>
    <row r="21">
      <c r="A21" t="inlineStr">
        <is>
          <t>New York Rangers</t>
        </is>
      </c>
      <c r="B21" t="inlineStr">
        <is>
          <t>NYR</t>
        </is>
      </c>
      <c r="C21" t="n">
        <v>1491</v>
      </c>
      <c r="D21" t="n">
        <v>0.4691</v>
      </c>
      <c r="E21" t="n">
        <v>1470.7</v>
      </c>
      <c r="F21" t="n">
        <v>-22.1</v>
      </c>
      <c r="G21" t="n">
        <v>1486.2</v>
      </c>
      <c r="H21" t="n">
        <v>1488.4</v>
      </c>
    </row>
    <row r="22">
      <c r="A22" t="inlineStr">
        <is>
          <t>New Jersey Devils</t>
        </is>
      </c>
      <c r="B22" t="inlineStr">
        <is>
          <t>NJD</t>
        </is>
      </c>
      <c r="C22" t="n">
        <v>1490.6</v>
      </c>
      <c r="D22" t="n">
        <v>0.5115</v>
      </c>
      <c r="E22" t="n">
        <v>1517.8</v>
      </c>
      <c r="F22" t="n">
        <v>-3.6</v>
      </c>
      <c r="G22" t="n">
        <v>1502</v>
      </c>
      <c r="H22" t="n">
        <v>1502.3</v>
      </c>
    </row>
    <row r="23">
      <c r="A23" t="inlineStr">
        <is>
          <t>Detroit Red Wings</t>
        </is>
      </c>
      <c r="B23" t="inlineStr">
        <is>
          <t>DET</t>
        </is>
      </c>
      <c r="C23" t="n">
        <v>1488.6</v>
      </c>
      <c r="D23" t="n">
        <v>0.504</v>
      </c>
      <c r="E23" t="n">
        <v>1509.4</v>
      </c>
      <c r="F23" t="n">
        <v>-8.1</v>
      </c>
      <c r="G23" t="n">
        <v>1498.1</v>
      </c>
      <c r="H23" t="n">
        <v>1498.9</v>
      </c>
    </row>
    <row r="24">
      <c r="A24" t="inlineStr">
        <is>
          <t>New York Islanders</t>
        </is>
      </c>
      <c r="B24" t="inlineStr">
        <is>
          <t>NYI</t>
        </is>
      </c>
      <c r="C24" t="n">
        <v>1484.3</v>
      </c>
      <c r="D24" t="n">
        <v>0.4816</v>
      </c>
      <c r="E24" t="n">
        <v>1484.5</v>
      </c>
      <c r="F24" t="n">
        <v>-20.6</v>
      </c>
      <c r="G24" t="n">
        <v>1487.5</v>
      </c>
      <c r="H24" t="n">
        <v>1489.5</v>
      </c>
    </row>
    <row r="25">
      <c r="A25" t="inlineStr">
        <is>
          <t>Los Angeles Kings</t>
        </is>
      </c>
      <c r="B25" t="inlineStr">
        <is>
          <t>LAK</t>
        </is>
      </c>
      <c r="C25" t="n">
        <v>1481.5</v>
      </c>
      <c r="D25" t="n">
        <v>0.5103</v>
      </c>
      <c r="E25" t="n">
        <v>1516.5</v>
      </c>
      <c r="F25" t="n">
        <v>-9.5</v>
      </c>
      <c r="G25" t="n">
        <v>1496.9</v>
      </c>
      <c r="H25" t="n">
        <v>1497.9</v>
      </c>
    </row>
    <row r="26">
      <c r="A26" t="inlineStr">
        <is>
          <t>Nashville Predators</t>
        </is>
      </c>
      <c r="B26" t="inlineStr">
        <is>
          <t>NSH</t>
        </is>
      </c>
      <c r="C26" t="n">
        <v>1477</v>
      </c>
      <c r="D26" t="n">
        <v>0.482</v>
      </c>
      <c r="E26" t="n">
        <v>1485</v>
      </c>
      <c r="F26" t="n">
        <v>-24.8</v>
      </c>
      <c r="G26" t="n">
        <v>1483.9</v>
      </c>
      <c r="H26" t="n">
        <v>1486.4</v>
      </c>
    </row>
    <row r="27">
      <c r="A27" t="inlineStr">
        <is>
          <t>Anaheim Ducks</t>
        </is>
      </c>
      <c r="B27" t="inlineStr">
        <is>
          <t>ANA</t>
        </is>
      </c>
      <c r="C27" t="n">
        <v>1474.7</v>
      </c>
      <c r="D27" t="n">
        <v>0.5093</v>
      </c>
      <c r="E27" t="n">
        <v>1515.3</v>
      </c>
      <c r="F27" t="n">
        <v>-14.1</v>
      </c>
      <c r="G27" t="n">
        <v>1493.1</v>
      </c>
      <c r="H27" t="n">
        <v>1494.5</v>
      </c>
    </row>
    <row r="28">
      <c r="A28" t="inlineStr">
        <is>
          <t>Toronto Maple Leafs</t>
        </is>
      </c>
      <c r="B28" t="inlineStr">
        <is>
          <t>TOR</t>
        </is>
      </c>
      <c r="C28" t="n">
        <v>1467.9</v>
      </c>
      <c r="D28" t="n">
        <v>0.4551</v>
      </c>
      <c r="E28" t="n">
        <v>1455.1</v>
      </c>
      <c r="F28" t="n">
        <v>-42.2</v>
      </c>
      <c r="G28" t="n">
        <v>1469.1</v>
      </c>
      <c r="H28" t="n">
        <v>1473.3</v>
      </c>
    </row>
    <row r="29">
      <c r="A29" t="inlineStr">
        <is>
          <t>Calgary Flames</t>
        </is>
      </c>
      <c r="B29" t="inlineStr">
        <is>
          <t>CGY</t>
        </is>
      </c>
      <c r="C29" t="n">
        <v>1464.1</v>
      </c>
      <c r="D29" t="n">
        <v>0.4623</v>
      </c>
      <c r="E29" t="n">
        <v>1463.1</v>
      </c>
      <c r="F29" t="n">
        <v>-41.3</v>
      </c>
      <c r="G29" t="n">
        <v>1469.9</v>
      </c>
      <c r="H29" t="n">
        <v>1474</v>
      </c>
    </row>
    <row r="30">
      <c r="A30" t="inlineStr">
        <is>
          <t>Seattle Kraken</t>
        </is>
      </c>
      <c r="B30" t="inlineStr">
        <is>
          <t>SEA</t>
        </is>
      </c>
      <c r="C30" t="n">
        <v>1453</v>
      </c>
      <c r="D30" t="n">
        <v>0.4647</v>
      </c>
      <c r="E30" t="n">
        <v>1465.8</v>
      </c>
      <c r="F30" t="n">
        <v>-46.9</v>
      </c>
      <c r="G30" t="n">
        <v>1465.1</v>
      </c>
      <c r="H30" t="n">
        <v>1469.8</v>
      </c>
    </row>
    <row r="31">
      <c r="A31" t="inlineStr">
        <is>
          <t>San Jose Sharks</t>
        </is>
      </c>
      <c r="B31" t="inlineStr">
        <is>
          <t>SJS</t>
        </is>
      </c>
      <c r="C31" t="n">
        <v>1431.8</v>
      </c>
      <c r="D31" t="n">
        <v>0.4776</v>
      </c>
      <c r="E31" t="n">
        <v>1480.1</v>
      </c>
      <c r="F31" t="n">
        <v>-53.9</v>
      </c>
      <c r="G31" t="n">
        <v>1459.2</v>
      </c>
      <c r="H31" t="n">
        <v>1464.6</v>
      </c>
    </row>
    <row r="32">
      <c r="A32" t="inlineStr">
        <is>
          <t>Chicago Blackhawks</t>
        </is>
      </c>
      <c r="B32" t="inlineStr">
        <is>
          <t>CHI</t>
        </is>
      </c>
      <c r="C32" t="n">
        <v>1408.9</v>
      </c>
      <c r="D32" t="n">
        <v>0.4414</v>
      </c>
      <c r="E32" t="n">
        <v>1439.9</v>
      </c>
      <c r="F32" t="n">
        <v>-83.7</v>
      </c>
      <c r="G32" t="n">
        <v>1433.9</v>
      </c>
      <c r="H32" t="n">
        <v>1442.2</v>
      </c>
    </row>
    <row r="33">
      <c r="A33" t="inlineStr">
        <is>
          <t>Vancouver Canucks</t>
        </is>
      </c>
      <c r="B33" t="inlineStr">
        <is>
          <t>VAN</t>
        </is>
      </c>
      <c r="C33" t="n">
        <v>1408.5</v>
      </c>
      <c r="D33" t="n">
        <v>0.4506</v>
      </c>
      <c r="E33" t="n">
        <v>1450.2</v>
      </c>
      <c r="F33" t="n">
        <v>-79.8</v>
      </c>
      <c r="G33" t="n">
        <v>1437.1</v>
      </c>
      <c r="H33" t="n">
        <v>1445.1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horizon</t>
        </is>
      </c>
      <c r="D1" s="1" t="inlineStr">
        <is>
          <t>season</t>
        </is>
      </c>
      <c r="E1" s="1" t="inlineStr">
        <is>
          <t>mae_model</t>
        </is>
      </c>
      <c r="F1" s="1" t="inlineStr">
        <is>
          <t>mae_uniform</t>
        </is>
      </c>
      <c r="G1" s="1" t="inlineStr">
        <is>
          <t>mae_regressed_prior</t>
        </is>
      </c>
      <c r="H1" s="1" t="inlineStr">
        <is>
          <t>mae_raw_prior</t>
        </is>
      </c>
      <c r="I1" s="1" t="inlineStr">
        <is>
          <t>spearman</t>
        </is>
      </c>
      <c r="J1" s="1" t="inlineStr">
        <is>
          <t>has_expansion_debut</t>
        </is>
      </c>
    </row>
    <row r="2">
      <c r="A2">
        <f>= Frozen parameters ==</f>
        <v/>
      </c>
      <c r="B2" t="inlineStr">
        <is>
          <t>{"K": 6.0, "H": 35.0, "phi_s": 0.7, "w": 0.6, "phi1": 0.85, "phi2": 0.75, "sigma1": 30.0, "sigma2": 40.0, "expansion_init": 1470.0, "train_through": 2017, "frozen": true}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h1 mean MAE/82 model (2018-2026)</t>
        </is>
      </c>
      <c r="B3" t="n">
        <v>10.54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h1 mean MAE/82 regressed-prior baseline</t>
        </is>
      </c>
      <c r="B4" t="n">
        <v>11.03</v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h1 mean MAE/82 uniform baseline</t>
        </is>
      </c>
      <c r="B5" t="n">
        <v>13.24</v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h1 playoff Brier (vs 0.25 constant)</t>
        </is>
      </c>
      <c r="B6" t="n">
        <v>0.1946</v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h2 mean MAE/82 model (2018-2026)</t>
        </is>
      </c>
      <c r="B7" t="n">
        <v>11.57</v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h2 mean MAE/82 regressed-prior baseline</t>
        </is>
      </c>
      <c r="B8" t="n">
        <v>11.9</v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h2 mean MAE/82 uniform baseline</t>
        </is>
      </c>
      <c r="B9" t="n">
        <v>13.24</v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h2 playoff Brier (vs 0.25 constant)</t>
        </is>
      </c>
      <c r="B10" t="n">
        <v>0.2081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per-season detail</t>
        </is>
      </c>
      <c r="B11" t="inlineStr"/>
      <c r="C11" t="n">
        <v>1</v>
      </c>
      <c r="D11" t="n">
        <v>2018</v>
      </c>
      <c r="E11" t="n">
        <v>11.76</v>
      </c>
      <c r="F11" t="n">
        <v>13.18</v>
      </c>
      <c r="G11" t="n">
        <v>13.03</v>
      </c>
      <c r="H11" t="n">
        <v>15.72</v>
      </c>
      <c r="I11" t="n">
        <v>0.44</v>
      </c>
      <c r="J11" t="n">
        <v>1</v>
      </c>
    </row>
    <row r="12">
      <c r="A12" t="inlineStr">
        <is>
          <t>per-season detail</t>
        </is>
      </c>
      <c r="B12" t="inlineStr"/>
      <c r="C12" t="n">
        <v>1</v>
      </c>
      <c r="D12" t="n">
        <v>2019</v>
      </c>
      <c r="E12" t="n">
        <v>8.18</v>
      </c>
      <c r="F12" t="n">
        <v>11.27</v>
      </c>
      <c r="G12" t="n">
        <v>9.07</v>
      </c>
      <c r="H12" t="n">
        <v>11.06</v>
      </c>
      <c r="I12" t="n">
        <v>0.6</v>
      </c>
      <c r="J12" t="n">
        <v>0</v>
      </c>
    </row>
    <row r="13">
      <c r="A13" t="inlineStr">
        <is>
          <t>per-season detail</t>
        </is>
      </c>
      <c r="B13" t="inlineStr"/>
      <c r="C13" t="n">
        <v>1</v>
      </c>
      <c r="D13" t="n">
        <v>2020</v>
      </c>
      <c r="E13" t="n">
        <v>7.45</v>
      </c>
      <c r="F13" t="n">
        <v>10.17</v>
      </c>
      <c r="G13" t="n">
        <v>8.06</v>
      </c>
      <c r="H13" t="n">
        <v>9.65</v>
      </c>
      <c r="I13" t="n">
        <v>0.61</v>
      </c>
      <c r="J13" t="n">
        <v>0</v>
      </c>
    </row>
    <row r="14">
      <c r="A14" t="inlineStr">
        <is>
          <t>per-season detail</t>
        </is>
      </c>
      <c r="B14" t="inlineStr"/>
      <c r="C14" t="n">
        <v>1</v>
      </c>
      <c r="D14" t="n">
        <v>2021</v>
      </c>
      <c r="E14" t="n">
        <v>12.89</v>
      </c>
      <c r="F14" t="n">
        <v>16.6</v>
      </c>
      <c r="G14" t="n">
        <v>13.16</v>
      </c>
      <c r="H14" t="n">
        <v>11.98</v>
      </c>
      <c r="I14" t="n">
        <v>0.7</v>
      </c>
      <c r="J14" t="n">
        <v>0</v>
      </c>
    </row>
    <row r="15">
      <c r="A15" t="inlineStr">
        <is>
          <t>per-season detail</t>
        </is>
      </c>
      <c r="B15" t="inlineStr"/>
      <c r="C15" t="n">
        <v>1</v>
      </c>
      <c r="D15" t="n">
        <v>2022</v>
      </c>
      <c r="E15" t="n">
        <v>12.22</v>
      </c>
      <c r="F15" t="n">
        <v>17.5</v>
      </c>
      <c r="G15" t="n">
        <v>12.86</v>
      </c>
      <c r="H15" t="n">
        <v>12.37</v>
      </c>
      <c r="I15" t="n">
        <v>0.71</v>
      </c>
      <c r="J15" t="n">
        <v>1</v>
      </c>
    </row>
    <row r="16">
      <c r="A16" t="inlineStr">
        <is>
          <t>per-season detail</t>
        </is>
      </c>
      <c r="B16" t="inlineStr"/>
      <c r="C16" t="n">
        <v>1</v>
      </c>
      <c r="D16" t="n">
        <v>2023</v>
      </c>
      <c r="E16" t="n">
        <v>11.09</v>
      </c>
      <c r="F16" t="n">
        <v>14.94</v>
      </c>
      <c r="G16" t="n">
        <v>12.17</v>
      </c>
      <c r="H16" t="n">
        <v>14.81</v>
      </c>
      <c r="I16" t="n">
        <v>0.65</v>
      </c>
      <c r="J16" t="n">
        <v>0</v>
      </c>
    </row>
    <row r="17">
      <c r="A17" t="inlineStr">
        <is>
          <t>per-season detail</t>
        </is>
      </c>
      <c r="B17" t="inlineStr"/>
      <c r="C17" t="n">
        <v>1</v>
      </c>
      <c r="D17" t="n">
        <v>2024</v>
      </c>
      <c r="E17" t="n">
        <v>8.859999999999999</v>
      </c>
      <c r="F17" t="n">
        <v>13.81</v>
      </c>
      <c r="G17" t="n">
        <v>9.779999999999999</v>
      </c>
      <c r="H17" t="n">
        <v>10.12</v>
      </c>
      <c r="I17" t="n">
        <v>0.73</v>
      </c>
      <c r="J17" t="n">
        <v>0</v>
      </c>
    </row>
    <row r="18">
      <c r="A18" t="inlineStr">
        <is>
          <t>per-season detail</t>
        </is>
      </c>
      <c r="B18" t="inlineStr"/>
      <c r="C18" t="n">
        <v>1</v>
      </c>
      <c r="D18" t="n">
        <v>2025</v>
      </c>
      <c r="E18" t="n">
        <v>10.43</v>
      </c>
      <c r="F18" t="n">
        <v>11.75</v>
      </c>
      <c r="G18" t="n">
        <v>10.1</v>
      </c>
      <c r="H18" t="n">
        <v>12.28</v>
      </c>
      <c r="I18" t="n">
        <v>0.48</v>
      </c>
      <c r="J18" t="n">
        <v>0</v>
      </c>
    </row>
    <row r="19">
      <c r="A19" t="inlineStr">
        <is>
          <t>per-season detail</t>
        </is>
      </c>
      <c r="B19" t="inlineStr"/>
      <c r="C19" t="n">
        <v>1</v>
      </c>
      <c r="D19" t="n">
        <v>2026</v>
      </c>
      <c r="E19" t="n">
        <v>11.97</v>
      </c>
      <c r="F19" t="n">
        <v>9.949999999999999</v>
      </c>
      <c r="G19" t="n">
        <v>11</v>
      </c>
      <c r="H19" t="n">
        <v>14.53</v>
      </c>
      <c r="I19" t="n">
        <v>0.14</v>
      </c>
      <c r="J19" t="n">
        <v>0</v>
      </c>
    </row>
    <row r="20">
      <c r="A20" t="inlineStr">
        <is>
          <t>per-season detail</t>
        </is>
      </c>
      <c r="B20" t="inlineStr"/>
      <c r="C20" t="n">
        <v>2</v>
      </c>
      <c r="D20" t="n">
        <v>2018</v>
      </c>
      <c r="E20" t="n">
        <v>11.55</v>
      </c>
      <c r="F20" t="n">
        <v>13.18</v>
      </c>
      <c r="G20" t="n">
        <v>12.4</v>
      </c>
      <c r="H20" t="n">
        <v>14.17</v>
      </c>
      <c r="I20" t="n">
        <v>0.36</v>
      </c>
      <c r="J20" t="n">
        <v>1</v>
      </c>
    </row>
    <row r="21">
      <c r="A21" t="inlineStr">
        <is>
          <t>per-season detail</t>
        </is>
      </c>
      <c r="B21" t="inlineStr"/>
      <c r="C21" t="n">
        <v>2</v>
      </c>
      <c r="D21" t="n">
        <v>2019</v>
      </c>
      <c r="E21" t="n">
        <v>10.36</v>
      </c>
      <c r="F21" t="n">
        <v>11.27</v>
      </c>
      <c r="G21" t="n">
        <v>10.44</v>
      </c>
      <c r="H21" t="n">
        <v>13.62</v>
      </c>
      <c r="I21" t="n">
        <v>0.32</v>
      </c>
      <c r="J21" t="n">
        <v>0</v>
      </c>
    </row>
    <row r="22">
      <c r="A22" t="inlineStr">
        <is>
          <t>per-season detail</t>
        </is>
      </c>
      <c r="B22" t="inlineStr"/>
      <c r="C22" t="n">
        <v>2</v>
      </c>
      <c r="D22" t="n">
        <v>2020</v>
      </c>
      <c r="E22" t="n">
        <v>9.279999999999999</v>
      </c>
      <c r="F22" t="n">
        <v>10.17</v>
      </c>
      <c r="G22" t="n">
        <v>9.359999999999999</v>
      </c>
      <c r="H22" t="n">
        <v>13.06</v>
      </c>
      <c r="I22" t="n">
        <v>0.4</v>
      </c>
      <c r="J22" t="n">
        <v>0</v>
      </c>
    </row>
    <row r="23">
      <c r="A23" t="inlineStr">
        <is>
          <t>per-season detail</t>
        </is>
      </c>
      <c r="B23" t="inlineStr"/>
      <c r="C23" t="n">
        <v>2</v>
      </c>
      <c r="D23" t="n">
        <v>2021</v>
      </c>
      <c r="E23" t="n">
        <v>13.34</v>
      </c>
      <c r="F23" t="n">
        <v>16.6</v>
      </c>
      <c r="G23" t="n">
        <v>14.62</v>
      </c>
      <c r="H23" t="n">
        <v>13.57</v>
      </c>
      <c r="I23" t="n">
        <v>0.6</v>
      </c>
      <c r="J23" t="n">
        <v>0</v>
      </c>
    </row>
    <row r="24">
      <c r="A24" t="inlineStr">
        <is>
          <t>per-season detail</t>
        </is>
      </c>
      <c r="B24" t="inlineStr"/>
      <c r="C24" t="n">
        <v>2</v>
      </c>
      <c r="D24" t="n">
        <v>2022</v>
      </c>
      <c r="E24" t="n">
        <v>14.36</v>
      </c>
      <c r="F24" t="n">
        <v>17.5</v>
      </c>
      <c r="G24" t="n">
        <v>15.11</v>
      </c>
      <c r="H24" t="n">
        <v>13.68</v>
      </c>
      <c r="I24" t="n">
        <v>0.51</v>
      </c>
      <c r="J24" t="n">
        <v>1</v>
      </c>
    </row>
    <row r="25">
      <c r="A25" t="inlineStr">
        <is>
          <t>per-season detail</t>
        </is>
      </c>
      <c r="B25" t="inlineStr"/>
      <c r="C25" t="n">
        <v>2</v>
      </c>
      <c r="D25" t="n">
        <v>2023</v>
      </c>
      <c r="E25" t="n">
        <v>12.43</v>
      </c>
      <c r="F25" t="n">
        <v>14.94</v>
      </c>
      <c r="G25" t="n">
        <v>13.24</v>
      </c>
      <c r="H25" t="n">
        <v>14.82</v>
      </c>
      <c r="I25" t="n">
        <v>0.58</v>
      </c>
      <c r="J25" t="n">
        <v>0</v>
      </c>
    </row>
    <row r="26">
      <c r="A26" t="inlineStr">
        <is>
          <t>per-season detail</t>
        </is>
      </c>
      <c r="B26" t="inlineStr"/>
      <c r="C26" t="n">
        <v>2</v>
      </c>
      <c r="D26" t="n">
        <v>2024</v>
      </c>
      <c r="E26" t="n">
        <v>9.710000000000001</v>
      </c>
      <c r="F26" t="n">
        <v>13.81</v>
      </c>
      <c r="G26" t="n">
        <v>10.55</v>
      </c>
      <c r="H26" t="n">
        <v>13.75</v>
      </c>
      <c r="I26" t="n">
        <v>0.68</v>
      </c>
      <c r="J26" t="n">
        <v>0</v>
      </c>
    </row>
    <row r="27">
      <c r="A27" t="inlineStr">
        <is>
          <t>per-season detail</t>
        </is>
      </c>
      <c r="B27" t="inlineStr"/>
      <c r="C27" t="n">
        <v>2</v>
      </c>
      <c r="D27" t="n">
        <v>2025</v>
      </c>
      <c r="E27" t="n">
        <v>10.7</v>
      </c>
      <c r="F27" t="n">
        <v>11.75</v>
      </c>
      <c r="G27" t="n">
        <v>10.6</v>
      </c>
      <c r="H27" t="n">
        <v>13.59</v>
      </c>
      <c r="I27" t="n">
        <v>0.49</v>
      </c>
      <c r="J27" t="n">
        <v>0</v>
      </c>
    </row>
    <row r="28">
      <c r="A28" t="inlineStr">
        <is>
          <t>per-season detail</t>
        </is>
      </c>
      <c r="B28" t="inlineStr"/>
      <c r="C28" t="n">
        <v>2</v>
      </c>
      <c r="D28" t="n">
        <v>2026</v>
      </c>
      <c r="E28" t="n">
        <v>12.35</v>
      </c>
      <c r="F28" t="n">
        <v>9.949999999999999</v>
      </c>
      <c r="G28" t="n">
        <v>10.79</v>
      </c>
      <c r="H28" t="n">
        <v>15.88</v>
      </c>
      <c r="I28" t="n">
        <v>0.09</v>
      </c>
      <c r="J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2026-08-13T00:29:52Z</dcterms:created>
  <dcterms:modified xmlns:dcterms="http://purl.org/dc/terms/" xmlns:xsi="http://www.w3.org/2001/XMLSchema-instance" xsi:type="dcterms:W3CDTF">2026-08-13T00:29:53Z</dcterms:modified>
</cp:coreProperties>
</file>